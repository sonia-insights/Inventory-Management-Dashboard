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0E8DAE3-4C52-4D76-B72E-A0084B5F705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IVOTS" sheetId="9" r:id="rId1"/>
    <sheet name="Dashboard" sheetId="1" r:id="rId2"/>
    <sheet name="Customers" sheetId="2" r:id="rId3"/>
    <sheet name="Products" sheetId="4" r:id="rId4"/>
    <sheet name="Vendors" sheetId="3" r:id="rId5"/>
    <sheet name="NEW ENTRY" sheetId="8" r:id="rId6"/>
    <sheet name="Purchase" sheetId="5" r:id="rId7"/>
    <sheet name="Sales" sheetId="6" r:id="rId8"/>
    <sheet name="Inventory" sheetId="7" r:id="rId9"/>
  </sheets>
  <definedNames>
    <definedName name="HSNcode">ProductsTable[HSN Code]</definedName>
  </definedNames>
  <calcPr calcId="191029"/>
  <pivotCaches>
    <pivotCache cacheId="33" r:id="rId10"/>
    <pivotCache cacheId="36" r:id="rId11"/>
    <pivotCache cacheId="38" r:id="rId12"/>
    <pivotCache cacheId="40" r:id="rId13"/>
    <pivotCache cacheId="4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7" i="1" l="1" a="1"/>
  <c r="T17" i="1" s="1"/>
  <c r="K11" i="7"/>
  <c r="K12" i="7"/>
  <c r="K13" i="7"/>
  <c r="K14" i="7"/>
  <c r="K15" i="7"/>
  <c r="K16" i="7"/>
  <c r="K10" i="7"/>
  <c r="K17" i="7"/>
  <c r="K18" i="7"/>
  <c r="K19" i="7"/>
  <c r="K20" i="7"/>
  <c r="G16" i="6"/>
  <c r="E16" i="6"/>
  <c r="H16" i="7"/>
  <c r="H13" i="7"/>
  <c r="H14" i="7"/>
  <c r="H15" i="7"/>
  <c r="H11" i="7"/>
  <c r="H12" i="7"/>
  <c r="H10" i="7"/>
  <c r="D16" i="7"/>
  <c r="E16" i="7"/>
  <c r="F16" i="7"/>
  <c r="D17" i="7"/>
  <c r="E17" i="7"/>
  <c r="F17" i="7"/>
  <c r="D18" i="7"/>
  <c r="E18" i="7"/>
  <c r="F18" i="7"/>
  <c r="D19" i="7"/>
  <c r="E19" i="7"/>
  <c r="F19" i="7"/>
  <c r="D20" i="7"/>
  <c r="E20" i="7"/>
  <c r="F20" i="7"/>
  <c r="E15" i="7"/>
  <c r="F15" i="7"/>
  <c r="I15" i="5"/>
  <c r="I10" i="5"/>
  <c r="E4" i="9"/>
  <c r="C11" i="9"/>
  <c r="C4" i="9"/>
  <c r="A11" i="9"/>
  <c r="A4" i="9"/>
  <c r="A5" i="9" l="1"/>
  <c r="A12" i="9"/>
  <c r="C5" i="9"/>
  <c r="C12" i="9"/>
  <c r="E5" i="9"/>
  <c r="F12" i="7"/>
  <c r="F13" i="7"/>
  <c r="F14" i="7"/>
  <c r="E11" i="7"/>
  <c r="E12" i="7"/>
  <c r="E13" i="7"/>
  <c r="E14" i="7"/>
  <c r="D12" i="7"/>
  <c r="D13" i="7"/>
  <c r="D14" i="7"/>
  <c r="D15" i="7"/>
  <c r="F11" i="7"/>
  <c r="D11" i="7"/>
  <c r="D10" i="7"/>
  <c r="F10" i="7"/>
  <c r="E10" i="7"/>
  <c r="L10" i="6"/>
  <c r="L18" i="6"/>
  <c r="L22" i="6"/>
  <c r="L26" i="6"/>
  <c r="L30" i="6"/>
  <c r="K10" i="6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K19" i="6"/>
  <c r="L19" i="6" s="1"/>
  <c r="K20" i="6"/>
  <c r="L20" i="6" s="1"/>
  <c r="K21" i="6"/>
  <c r="L21" i="6" s="1"/>
  <c r="K22" i="6"/>
  <c r="K23" i="6"/>
  <c r="L23" i="6" s="1"/>
  <c r="K24" i="6"/>
  <c r="L24" i="6" s="1"/>
  <c r="K25" i="6"/>
  <c r="L25" i="6" s="1"/>
  <c r="K26" i="6"/>
  <c r="K27" i="6"/>
  <c r="L27" i="6" s="1"/>
  <c r="K28" i="6"/>
  <c r="L28" i="6" s="1"/>
  <c r="K29" i="6"/>
  <c r="L29" i="6" s="1"/>
  <c r="K30" i="6"/>
  <c r="G10" i="6"/>
  <c r="G11" i="6"/>
  <c r="G12" i="6"/>
  <c r="G13" i="6"/>
  <c r="G14" i="6"/>
  <c r="G15" i="6"/>
  <c r="E10" i="6"/>
  <c r="E11" i="6"/>
  <c r="E12" i="6"/>
  <c r="E13" i="6"/>
  <c r="E14" i="6"/>
  <c r="E15" i="6"/>
  <c r="J10" i="5"/>
  <c r="J11" i="5"/>
  <c r="J12" i="5"/>
  <c r="J19" i="5"/>
  <c r="J20" i="5"/>
  <c r="J21" i="5"/>
  <c r="J22" i="5"/>
  <c r="J23" i="5"/>
  <c r="J24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I11" i="5"/>
  <c r="I12" i="5"/>
  <c r="I13" i="5"/>
  <c r="J13" i="5" s="1"/>
  <c r="I14" i="5"/>
  <c r="J14" i="5" s="1"/>
  <c r="J15" i="5"/>
  <c r="I16" i="5"/>
  <c r="J16" i="5" s="1"/>
  <c r="I17" i="5"/>
  <c r="J17" i="5" s="1"/>
  <c r="I18" i="5"/>
  <c r="J18" i="5" s="1"/>
  <c r="I19" i="5"/>
  <c r="I20" i="5"/>
  <c r="I21" i="5"/>
  <c r="I22" i="5"/>
  <c r="I23" i="5"/>
  <c r="I24" i="5"/>
  <c r="E10" i="5"/>
  <c r="E11" i="5"/>
  <c r="E12" i="5"/>
  <c r="E13" i="5"/>
  <c r="E14" i="5"/>
  <c r="E15" i="5"/>
  <c r="E16" i="5"/>
  <c r="E17" i="5"/>
  <c r="E18" i="5"/>
  <c r="G16" i="7" s="1"/>
  <c r="I16" i="7" s="1"/>
  <c r="E19" i="5"/>
  <c r="E20" i="5"/>
  <c r="E21" i="5"/>
  <c r="E22" i="5"/>
  <c r="E23" i="5"/>
  <c r="E24" i="5"/>
  <c r="G11" i="4"/>
  <c r="G10" i="4"/>
  <c r="G12" i="4"/>
  <c r="G13" i="4"/>
  <c r="G14" i="4"/>
  <c r="G15" i="4"/>
  <c r="G16" i="4"/>
  <c r="G17" i="4"/>
  <c r="G18" i="4"/>
  <c r="G19" i="4"/>
  <c r="G20" i="4"/>
  <c r="G21" i="4"/>
  <c r="G22" i="4"/>
  <c r="G23" i="4"/>
  <c r="G9" i="4"/>
  <c r="E9" i="9" l="1"/>
  <c r="E10" i="9" s="1"/>
  <c r="I12" i="6"/>
  <c r="I15" i="6"/>
  <c r="J16" i="7"/>
  <c r="G14" i="7"/>
  <c r="I14" i="7" s="1"/>
  <c r="G12" i="7"/>
  <c r="G11" i="7"/>
  <c r="G15" i="7"/>
  <c r="I15" i="7" s="1"/>
  <c r="G10" i="7"/>
  <c r="G13" i="7"/>
  <c r="I16" i="6" l="1"/>
  <c r="I10" i="6"/>
  <c r="I12" i="7"/>
  <c r="I10" i="7"/>
  <c r="J14" i="7"/>
  <c r="J15" i="7"/>
  <c r="I11" i="7"/>
  <c r="I13" i="7"/>
  <c r="J13" i="7" l="1"/>
  <c r="J10" i="7"/>
  <c r="I11" i="6"/>
  <c r="J11" i="7"/>
  <c r="I14" i="6"/>
  <c r="I13" i="6"/>
  <c r="J1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<sst xmlns="http://schemas.openxmlformats.org/spreadsheetml/2006/main" count="269" uniqueCount="143">
  <si>
    <t>CustomerID</t>
  </si>
  <si>
    <t>CUST001</t>
  </si>
  <si>
    <t>Alpha Corp</t>
  </si>
  <si>
    <t>CUST002</t>
  </si>
  <si>
    <t>Beta Ltd</t>
  </si>
  <si>
    <t>CUST003</t>
  </si>
  <si>
    <t>Gamma Inc</t>
  </si>
  <si>
    <t>CUST004</t>
  </si>
  <si>
    <t>Delta Co</t>
  </si>
  <si>
    <t>CUST005</t>
  </si>
  <si>
    <t>Epsilon LLC</t>
  </si>
  <si>
    <t>CUST006</t>
  </si>
  <si>
    <t>Zeta Pvt</t>
  </si>
  <si>
    <t>CUST007</t>
  </si>
  <si>
    <t>Eta Traders</t>
  </si>
  <si>
    <t>CUST008</t>
  </si>
  <si>
    <t>Theta Tech</t>
  </si>
  <si>
    <t>CUST009</t>
  </si>
  <si>
    <t>Iota Solutions</t>
  </si>
  <si>
    <t>CUST010</t>
  </si>
  <si>
    <t>Kappa Co</t>
  </si>
  <si>
    <t>CUST011</t>
  </si>
  <si>
    <t>Lambda Ltd</t>
  </si>
  <si>
    <t>CUST012</t>
  </si>
  <si>
    <t>Mu Corp</t>
  </si>
  <si>
    <t>CUST013</t>
  </si>
  <si>
    <t>Nu Tech</t>
  </si>
  <si>
    <t>CUST014</t>
  </si>
  <si>
    <t>Xi Inc</t>
  </si>
  <si>
    <t>CUST015</t>
  </si>
  <si>
    <t>Omicron Org</t>
  </si>
  <si>
    <t>Global Supplies</t>
  </si>
  <si>
    <t>TechSource</t>
  </si>
  <si>
    <t>MegaTrade</t>
  </si>
  <si>
    <t>QuickBuy</t>
  </si>
  <si>
    <t>ProductName</t>
  </si>
  <si>
    <t>UnitPrice</t>
  </si>
  <si>
    <t>Laptop</t>
  </si>
  <si>
    <t>Mouse</t>
  </si>
  <si>
    <t>Keyboard</t>
  </si>
  <si>
    <t>Monitor</t>
  </si>
  <si>
    <t>Smartphone</t>
  </si>
  <si>
    <t>Tablet</t>
  </si>
  <si>
    <t>Printer</t>
  </si>
  <si>
    <t>Scanner</t>
  </si>
  <si>
    <t>Router</t>
  </si>
  <si>
    <t>Webcam</t>
  </si>
  <si>
    <t>Headphones</t>
  </si>
  <si>
    <t>Speaker</t>
  </si>
  <si>
    <t>Smartwatch</t>
  </si>
  <si>
    <t>External HDD</t>
  </si>
  <si>
    <t>USB Drive</t>
  </si>
  <si>
    <t>Amount</t>
  </si>
  <si>
    <t>Column1</t>
  </si>
  <si>
    <t>Email</t>
  </si>
  <si>
    <t>Address</t>
  </si>
  <si>
    <t>Customer Name</t>
  </si>
  <si>
    <t>alphacorporationgmail.com</t>
  </si>
  <si>
    <t>betaltdcorporationgmail.com</t>
  </si>
  <si>
    <t>gammaincorporationgmail.com</t>
  </si>
  <si>
    <t>deltacorporationgmail.com</t>
  </si>
  <si>
    <t>epsilonllcorporationgmail.com</t>
  </si>
  <si>
    <t>zetapvtcorporationgmail.com</t>
  </si>
  <si>
    <t>etatraderscorporationgmail.com</t>
  </si>
  <si>
    <t>thetatechcorporationgmail.com</t>
  </si>
  <si>
    <t>iotasolutionscorporationgmail.com</t>
  </si>
  <si>
    <t>kappacocorporationgmail.com</t>
  </si>
  <si>
    <t>lambdaltdcorporationgmail.com</t>
  </si>
  <si>
    <t>mucorpcorporationgmail.com</t>
  </si>
  <si>
    <t>nutechcorporationgmail.com</t>
  </si>
  <si>
    <t>xiinccorporationgmail.com</t>
  </si>
  <si>
    <t>omicronorgcorporationgmail.com</t>
  </si>
  <si>
    <t>agra , UP</t>
  </si>
  <si>
    <t>Gurgaon</t>
  </si>
  <si>
    <t xml:space="preserve">Gandhidham gujarat </t>
  </si>
  <si>
    <t>Palwal , Mumbai</t>
  </si>
  <si>
    <t xml:space="preserve">Delhi India </t>
  </si>
  <si>
    <t>Janpath marg , New delhi</t>
  </si>
  <si>
    <t>Patel Nagar , Delhi</t>
  </si>
  <si>
    <t>ORN , New delhi</t>
  </si>
  <si>
    <t>Kullu , H.P.</t>
  </si>
  <si>
    <t>Shimla, H.P.</t>
  </si>
  <si>
    <t>Manali , H.P.</t>
  </si>
  <si>
    <t>Spiti , H.P.</t>
  </si>
  <si>
    <t>Nainital, U.K.</t>
  </si>
  <si>
    <t>Dharmshala , H.P.</t>
  </si>
  <si>
    <t>Kangra , H.P.</t>
  </si>
  <si>
    <t>Selling Price</t>
  </si>
  <si>
    <t>HSN Code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</si>
  <si>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</si>
  <si>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</si>
  <si>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</si>
  <si>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</si>
  <si>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</si>
  <si>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</si>
  <si>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</si>
  <si>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</si>
  <si>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</si>
  <si>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</si>
  <si>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</si>
  <si>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</si>
  <si>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</si>
  <si>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</si>
  <si>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</si>
  <si>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Product Name</t>
  </si>
  <si>
    <t xml:space="preserve">Vendor Name </t>
  </si>
  <si>
    <t>Phone</t>
  </si>
  <si>
    <t>85684XXXXX</t>
  </si>
  <si>
    <t>342535XXXX</t>
  </si>
  <si>
    <t>234234XXXX</t>
  </si>
  <si>
    <t>876876XXXX</t>
  </si>
  <si>
    <t>Chandigarh</t>
  </si>
  <si>
    <t>Delhi</t>
  </si>
  <si>
    <t>Gujarat</t>
  </si>
  <si>
    <t>Assam</t>
  </si>
  <si>
    <t>Purchase Entry</t>
  </si>
  <si>
    <t>Sale Entry</t>
  </si>
  <si>
    <t xml:space="preserve">HSN Code </t>
  </si>
  <si>
    <t>Vendor</t>
  </si>
  <si>
    <t>Date</t>
  </si>
  <si>
    <t>Units</t>
  </si>
  <si>
    <t>Cost</t>
  </si>
  <si>
    <t>Stocks(units)</t>
  </si>
  <si>
    <t>Price</t>
  </si>
  <si>
    <t>S Units</t>
  </si>
  <si>
    <t>P Units</t>
  </si>
  <si>
    <t>Stock Amt</t>
  </si>
  <si>
    <t>Remaining Stock Unit</t>
  </si>
  <si>
    <t>Row Labels</t>
  </si>
  <si>
    <t>Grand Total</t>
  </si>
  <si>
    <t>Count of Customer Name</t>
  </si>
  <si>
    <t>Count of ProductName</t>
  </si>
  <si>
    <t>Sum of Amount</t>
  </si>
  <si>
    <t>purchase amt</t>
  </si>
  <si>
    <t>sale amt.</t>
  </si>
  <si>
    <t>Sum of Stock Amt</t>
  </si>
  <si>
    <t>total stock amt</t>
  </si>
  <si>
    <t>P/L</t>
  </si>
  <si>
    <t>Sum of S Units</t>
  </si>
  <si>
    <t>Notifications</t>
  </si>
  <si>
    <t>Sum of Remaining Stock Unit</t>
  </si>
  <si>
    <t>cust0156</t>
  </si>
  <si>
    <t>hcl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</si>
</sst>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;[Red][$₹-4009]\ \-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theme="5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0" fontId="0" fillId="0" borderId="0" xfId="0" applyFill="1" applyBorder="1"/>
    <xf numFmtId="0" fontId="0" fillId="4" borderId="1" xfId="0" applyFill="1" applyBorder="1"/>
    <xf numFmtId="0" fontId="0" fillId="3" borderId="0" xfId="0" applyFill="1" applyAlignment="1">
      <alignment horizontal="center" vertical="center"/>
    </xf>
    <xf numFmtId="0" fontId="2" fillId="4" borderId="0" xfId="0" applyFont="1" applyFill="1"/>
    <xf numFmtId="0" fontId="1" fillId="4" borderId="0" xfId="0" applyFont="1" applyFill="1"/>
    <xf numFmtId="0" fontId="0" fillId="3" borderId="0" xfId="0" applyFont="1" applyFill="1"/>
    <xf numFmtId="0" fontId="0" fillId="3" borderId="3" xfId="0" applyFont="1" applyFill="1" applyBorder="1"/>
    <xf numFmtId="0" fontId="1" fillId="4" borderId="2" xfId="0" applyFont="1" applyFill="1" applyBorder="1"/>
    <xf numFmtId="0" fontId="0" fillId="3" borderId="0" xfId="0" applyFont="1" applyFill="1" applyBorder="1"/>
    <xf numFmtId="0" fontId="0" fillId="5" borderId="0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3" borderId="0" xfId="1" applyFont="1" applyFill="1"/>
    <xf numFmtId="0" fontId="1" fillId="4" borderId="0" xfId="0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7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8" fillId="4" borderId="0" xfId="0" applyFont="1" applyFill="1"/>
    <xf numFmtId="0" fontId="9" fillId="2" borderId="0" xfId="0" applyFont="1" applyFill="1"/>
  </cellXfs>
  <cellStyles count="2">
    <cellStyle name="Hyperlink" xfId="1" builtinId="8"/>
    <cellStyle name="Normal" xfId="0" builtinId="0"/>
  </cellStyles>
  <dxfs count="54"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left style="thin">
          <color theme="5"/>
        </left>
      </border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1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9" defaultPivotStyle="PivotStyleLight16"/>
  <colors>
    <mruColors>
      <color rgb="FFFFCC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[Inventory_Management_Dashboard.xlsx]PIVOTS!PivotTable9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PIVOTS!$G$2:$G$7</c:f>
              <c:strCache>
                <c:ptCount val="5"/>
                <c:pt idx="0">
                  <c:v>Keyboard</c:v>
                </c:pt>
                <c:pt idx="1">
                  <c:v>Printer</c:v>
                </c:pt>
                <c:pt idx="2">
                  <c:v>Tablet</c:v>
                </c:pt>
                <c:pt idx="3">
                  <c:v>Smartphone</c:v>
                </c:pt>
                <c:pt idx="4">
                  <c:v>Mouse</c:v>
                </c:pt>
              </c:strCache>
            </c:strRef>
          </c:cat>
          <c:val>
            <c:numRef>
              <c:f>PIVOTS!$H$2:$H$7</c:f>
              <c:numCache>
                <c:formatCode>General</c:formatCode>
                <c:ptCount val="5"/>
                <c:pt idx="0">
                  <c:v>50</c:v>
                </c:pt>
                <c:pt idx="1">
                  <c:v>20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C-409B-9087-42F4F46CD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5838367"/>
        <c:axId val="655815903"/>
        <c:axId val="0"/>
      </c:bar3DChart>
      <c:catAx>
        <c:axId val="65583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15903"/>
        <c:crosses val="autoZero"/>
        <c:auto val="1"/>
        <c:lblAlgn val="ctr"/>
        <c:lblOffset val="100"/>
        <c:noMultiLvlLbl val="0"/>
      </c:catAx>
      <c:valAx>
        <c:axId val="65581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3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[Inventory_Management_Dashboard.xlsx]PIVOTS!PivotTable10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Consumers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PIVOTS!$G$11:$G$16</c:f>
              <c:strCache>
                <c:ptCount val="5"/>
                <c:pt idx="0">
                  <c:v>Nu Tech</c:v>
                </c:pt>
                <c:pt idx="1">
                  <c:v>Gamma Inc</c:v>
                </c:pt>
                <c:pt idx="2">
                  <c:v>Zeta Pvt</c:v>
                </c:pt>
                <c:pt idx="3">
                  <c:v>Beta Ltd</c:v>
                </c:pt>
                <c:pt idx="4">
                  <c:v>Iota Solutions</c:v>
                </c:pt>
              </c:strCache>
            </c:strRef>
          </c:cat>
          <c:val>
            <c:numRef>
              <c:f>PIVOTS!$H$11:$H$16</c:f>
              <c:numCache>
                <c:formatCode>General</c:formatCode>
                <c:ptCount val="5"/>
                <c:pt idx="0">
                  <c:v>198000</c:v>
                </c:pt>
                <c:pt idx="1">
                  <c:v>130000</c:v>
                </c:pt>
                <c:pt idx="2">
                  <c:v>125000</c:v>
                </c:pt>
                <c:pt idx="3">
                  <c:v>95000</c:v>
                </c:pt>
                <c:pt idx="4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E-4A18-8A17-02B78CA10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235919"/>
        <c:axId val="431218863"/>
      </c:barChart>
      <c:catAx>
        <c:axId val="43123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18863"/>
        <c:crosses val="autoZero"/>
        <c:auto val="1"/>
        <c:lblAlgn val="ctr"/>
        <c:lblOffset val="100"/>
        <c:noMultiLvlLbl val="0"/>
      </c:catAx>
      <c:valAx>
        <c:axId val="43121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3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[Inventory_Management_Dashboard.xlsx]PIVOTS!PivotTable11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PIVOTS!$A$21:$A$32</c:f>
              <c:strCache>
                <c:ptCount val="11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Router</c:v>
                </c:pt>
                <c:pt idx="7">
                  <c:v>Scanner</c:v>
                </c:pt>
                <c:pt idx="8">
                  <c:v>Smartphone</c:v>
                </c:pt>
                <c:pt idx="9">
                  <c:v>Tablet</c:v>
                </c:pt>
                <c:pt idx="10">
                  <c:v>Webcam</c:v>
                </c:pt>
              </c:strCache>
            </c:strRef>
          </c:cat>
          <c:val>
            <c:numRef>
              <c:f>PIVOTS!$B$21:$B$32</c:f>
              <c:numCache>
                <c:formatCode>General</c:formatCode>
                <c:ptCount val="11"/>
                <c:pt idx="1">
                  <c:v>50</c:v>
                </c:pt>
                <c:pt idx="2">
                  <c:v>23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8">
                  <c:v>25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9-40F3-BB56-23858AD65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5943711"/>
        <c:axId val="245944959"/>
        <c:axId val="0"/>
      </c:bar3DChart>
      <c:catAx>
        <c:axId val="2459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44959"/>
        <c:crosses val="autoZero"/>
        <c:auto val="1"/>
        <c:lblAlgn val="ctr"/>
        <c:lblOffset val="100"/>
        <c:noMultiLvlLbl val="0"/>
      </c:catAx>
      <c:valAx>
        <c:axId val="24594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43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12" Type="http://schemas.openxmlformats.org/officeDocument/2006/relationships/chart" Target="../charts/chart3.xml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11" Type="http://schemas.openxmlformats.org/officeDocument/2006/relationships/chart" Target="../charts/chart2.xml"/><Relationship Id="rId5" Type="http://schemas.openxmlformats.org/officeDocument/2006/relationships/hyperlink" Target="#Purchase!A1"/><Relationship Id="rId10" Type="http://schemas.openxmlformats.org/officeDocument/2006/relationships/chart" Target="../charts/chart1.xml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Products!A1"/><Relationship Id="rId7" Type="http://schemas.openxmlformats.org/officeDocument/2006/relationships/hyperlink" Target="#Inventory!A1"/><Relationship Id="rId2" Type="http://schemas.openxmlformats.org/officeDocument/2006/relationships/hyperlink" Target="#Customers!A1"/><Relationship Id="rId1" Type="http://schemas.openxmlformats.org/officeDocument/2006/relationships/hyperlink" Target="#Dashboard!A1"/><Relationship Id="rId6" Type="http://schemas.openxmlformats.org/officeDocument/2006/relationships/hyperlink" Target="#Sales!A1"/><Relationship Id="rId5" Type="http://schemas.openxmlformats.org/officeDocument/2006/relationships/hyperlink" Target="#Purchase!A1"/><Relationship Id="rId4" Type="http://schemas.openxmlformats.org/officeDocument/2006/relationships/hyperlink" Target="#Vendors!A1"/><Relationship Id="rId9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2</xdr:col>
      <xdr:colOff>0</xdr:colOff>
      <xdr:row>11</xdr:row>
      <xdr:rowOff>137160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8E81AF-3C98-438C-A8CC-21BC7BDFF888}"/>
            </a:ext>
          </a:extLst>
        </xdr:cNvPr>
        <xdr:cNvSpPr/>
      </xdr:nvSpPr>
      <xdr:spPr>
        <a:xfrm>
          <a:off x="281940" y="1295400"/>
          <a:ext cx="1722120" cy="85344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117131</xdr:rowOff>
    </xdr:from>
    <xdr:to>
      <xdr:col>1</xdr:col>
      <xdr:colOff>1813560</xdr:colOff>
      <xdr:row>14</xdr:row>
      <xdr:rowOff>2613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63418-C286-46A0-A2F9-61A199B60AA0}"/>
            </a:ext>
          </a:extLst>
        </xdr:cNvPr>
        <xdr:cNvSpPr/>
      </xdr:nvSpPr>
      <xdr:spPr>
        <a:xfrm>
          <a:off x="290649" y="2152760"/>
          <a:ext cx="1805940" cy="440653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10" name="Rectangl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BB9FD-3A3A-4E4C-BC21-38E961AAED55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11" name="Rectangl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352E8C-8727-4F37-A964-69C545250D0B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12" name="Rectangl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3613FB-BE7B-4B59-AA55-879EE8EFE09B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E151E12-6C9D-404F-AE64-DD3E1E397769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14" name="Rectang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DBF064-EFE3-419B-AA2A-5844471D5A7E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15" name="Rectang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47E2E7-1DEC-4EB0-97BC-BC44C92DAC7C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102404</xdr:rowOff>
    </xdr:from>
    <xdr:to>
      <xdr:col>2</xdr:col>
      <xdr:colOff>3810</xdr:colOff>
      <xdr:row>29</xdr:row>
      <xdr:rowOff>171915</xdr:rowOff>
    </xdr:to>
    <xdr:sp macro="" textlink="">
      <xdr:nvSpPr>
        <xdr:cNvPr id="16" name="Rectangl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EF0924-03DC-4157-A370-4E7F5903A7EB}"/>
            </a:ext>
          </a:extLst>
        </xdr:cNvPr>
        <xdr:cNvSpPr/>
      </xdr:nvSpPr>
      <xdr:spPr>
        <a:xfrm>
          <a:off x="285750" y="4960154"/>
          <a:ext cx="1813560" cy="429344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</xdr:colOff>
      <xdr:row>0</xdr:row>
      <xdr:rowOff>182568</xdr:rowOff>
    </xdr:from>
    <xdr:to>
      <xdr:col>22</xdr:col>
      <xdr:colOff>1</xdr:colOff>
      <xdr:row>5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7138033-2734-4D46-BBCE-531BF5736619}"/>
            </a:ext>
          </a:extLst>
        </xdr:cNvPr>
        <xdr:cNvSpPr/>
      </xdr:nvSpPr>
      <xdr:spPr>
        <a:xfrm>
          <a:off x="2407921" y="182568"/>
          <a:ext cx="11582400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9" name="Graphic 18" descr="Database with solid fill">
          <a:extLst>
            <a:ext uri="{FF2B5EF4-FFF2-40B4-BE49-F238E27FC236}">
              <a16:creationId xmlns:a16="http://schemas.microsoft.com/office/drawing/2014/main" id="{FD963CDB-C830-4B2C-A832-E4ADA561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  <xdr:twoCellAnchor editAs="absolute">
    <xdr:from>
      <xdr:col>3</xdr:col>
      <xdr:colOff>1</xdr:colOff>
      <xdr:row>7</xdr:row>
      <xdr:rowOff>15240</xdr:rowOff>
    </xdr:from>
    <xdr:to>
      <xdr:col>6</xdr:col>
      <xdr:colOff>0</xdr:colOff>
      <xdr:row>12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4409D48-B1CD-4E69-8C70-565DE6576ABD}"/>
            </a:ext>
          </a:extLst>
        </xdr:cNvPr>
        <xdr:cNvSpPr/>
      </xdr:nvSpPr>
      <xdr:spPr>
        <a:xfrm>
          <a:off x="2632365" y="1288126"/>
          <a:ext cx="1818408" cy="89396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Customers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48362</xdr:colOff>
      <xdr:row>7</xdr:row>
      <xdr:rowOff>0</xdr:rowOff>
    </xdr:from>
    <xdr:to>
      <xdr:col>3</xdr:col>
      <xdr:colOff>224942</xdr:colOff>
      <xdr:row>11</xdr:row>
      <xdr:rowOff>167640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3BF17-8D87-4655-88A2-2E1BAEF32CEF}"/>
            </a:ext>
          </a:extLst>
        </xdr:cNvPr>
        <xdr:cNvSpPr/>
      </xdr:nvSpPr>
      <xdr:spPr>
        <a:xfrm>
          <a:off x="2677262" y="1280160"/>
          <a:ext cx="176580" cy="89916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7</xdr:col>
      <xdr:colOff>0</xdr:colOff>
      <xdr:row>7</xdr:row>
      <xdr:rowOff>15240</xdr:rowOff>
    </xdr:from>
    <xdr:to>
      <xdr:col>10</xdr:col>
      <xdr:colOff>3463</xdr:colOff>
      <xdr:row>12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5AFAF3E-9316-4B23-A7CE-01378E0DDFF6}"/>
            </a:ext>
          </a:extLst>
        </xdr:cNvPr>
        <xdr:cNvSpPr/>
      </xdr:nvSpPr>
      <xdr:spPr>
        <a:xfrm>
          <a:off x="5056909" y="1288126"/>
          <a:ext cx="1821872" cy="89396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Products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70202</xdr:colOff>
      <xdr:row>7</xdr:row>
      <xdr:rowOff>0</xdr:rowOff>
    </xdr:from>
    <xdr:to>
      <xdr:col>7</xdr:col>
      <xdr:colOff>246782</xdr:colOff>
      <xdr:row>11</xdr:row>
      <xdr:rowOff>167640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C0CB7E2-FBCF-4550-8725-460861662FDE}"/>
            </a:ext>
          </a:extLst>
        </xdr:cNvPr>
        <xdr:cNvSpPr/>
      </xdr:nvSpPr>
      <xdr:spPr>
        <a:xfrm>
          <a:off x="5137502" y="1280160"/>
          <a:ext cx="176580" cy="89916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10</xdr:col>
      <xdr:colOff>563881</xdr:colOff>
      <xdr:row>7</xdr:row>
      <xdr:rowOff>15240</xdr:rowOff>
    </xdr:from>
    <xdr:to>
      <xdr:col>13</xdr:col>
      <xdr:colOff>563880</xdr:colOff>
      <xdr:row>12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B5A346B-3D5C-4EF3-B9FD-7991F9FE54B7}"/>
            </a:ext>
          </a:extLst>
        </xdr:cNvPr>
        <xdr:cNvSpPr/>
      </xdr:nvSpPr>
      <xdr:spPr>
        <a:xfrm>
          <a:off x="7459981" y="1295400"/>
          <a:ext cx="1828799" cy="8991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Purchase Amount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7</xdr:row>
      <xdr:rowOff>15240</xdr:rowOff>
    </xdr:from>
    <xdr:to>
      <xdr:col>11</xdr:col>
      <xdr:colOff>160527</xdr:colOff>
      <xdr:row>12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68FC7CD-B3B5-4860-A30C-2B942E9D6303}"/>
            </a:ext>
          </a:extLst>
        </xdr:cNvPr>
        <xdr:cNvSpPr/>
      </xdr:nvSpPr>
      <xdr:spPr>
        <a:xfrm>
          <a:off x="7505700" y="1295400"/>
          <a:ext cx="160527" cy="89916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15</xdr:col>
      <xdr:colOff>0</xdr:colOff>
      <xdr:row>7</xdr:row>
      <xdr:rowOff>15240</xdr:rowOff>
    </xdr:from>
    <xdr:to>
      <xdr:col>18</xdr:col>
      <xdr:colOff>0</xdr:colOff>
      <xdr:row>12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DA54FEC-ED08-4ECC-94BF-B5AA7E1540BA}"/>
            </a:ext>
          </a:extLst>
        </xdr:cNvPr>
        <xdr:cNvSpPr/>
      </xdr:nvSpPr>
      <xdr:spPr>
        <a:xfrm>
          <a:off x="9944100" y="1295400"/>
          <a:ext cx="1828800" cy="8991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Sales Amount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54354</xdr:colOff>
      <xdr:row>7</xdr:row>
      <xdr:rowOff>23899</xdr:rowOff>
    </xdr:from>
    <xdr:to>
      <xdr:col>15</xdr:col>
      <xdr:colOff>214881</xdr:colOff>
      <xdr:row>12</xdr:row>
      <xdr:rowOff>8659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E619969-3751-49DE-869C-CF6253195047}"/>
            </a:ext>
          </a:extLst>
        </xdr:cNvPr>
        <xdr:cNvSpPr/>
      </xdr:nvSpPr>
      <xdr:spPr>
        <a:xfrm>
          <a:off x="9960354" y="1296785"/>
          <a:ext cx="160527" cy="89396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19</xdr:col>
      <xdr:colOff>0</xdr:colOff>
      <xdr:row>7</xdr:row>
      <xdr:rowOff>15240</xdr:rowOff>
    </xdr:from>
    <xdr:to>
      <xdr:col>22</xdr:col>
      <xdr:colOff>0</xdr:colOff>
      <xdr:row>12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FCFB087-B805-4BA1-A62B-3379B7201549}"/>
            </a:ext>
          </a:extLst>
        </xdr:cNvPr>
        <xdr:cNvSpPr/>
      </xdr:nvSpPr>
      <xdr:spPr>
        <a:xfrm>
          <a:off x="12382500" y="1295400"/>
          <a:ext cx="1828800" cy="89916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Stock Amount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19</xdr:col>
      <xdr:colOff>51955</xdr:colOff>
      <xdr:row>7</xdr:row>
      <xdr:rowOff>22514</xdr:rowOff>
    </xdr:from>
    <xdr:to>
      <xdr:col>19</xdr:col>
      <xdr:colOff>212482</xdr:colOff>
      <xdr:row>12</xdr:row>
      <xdr:rowOff>7274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EEA834A-B2FD-4C08-B127-DA2CE4EFCD1D}"/>
            </a:ext>
          </a:extLst>
        </xdr:cNvPr>
        <xdr:cNvSpPr/>
      </xdr:nvSpPr>
      <xdr:spPr>
        <a:xfrm>
          <a:off x="12382500" y="1295400"/>
          <a:ext cx="160527" cy="89396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53552</xdr:colOff>
      <xdr:row>0</xdr:row>
      <xdr:rowOff>172624</xdr:rowOff>
    </xdr:from>
    <xdr:to>
      <xdr:col>3</xdr:col>
      <xdr:colOff>224942</xdr:colOff>
      <xdr:row>6</xdr:row>
      <xdr:rowOff>33442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6BFE9C9-A1CA-4BBC-B201-504960620CB5}"/>
            </a:ext>
          </a:extLst>
        </xdr:cNvPr>
        <xdr:cNvSpPr/>
      </xdr:nvSpPr>
      <xdr:spPr>
        <a:xfrm>
          <a:off x="2681138" y="172624"/>
          <a:ext cx="171390" cy="964404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3</xdr:col>
      <xdr:colOff>7696</xdr:colOff>
      <xdr:row>9</xdr:row>
      <xdr:rowOff>0</xdr:rowOff>
    </xdr:from>
    <xdr:to>
      <xdr:col>5</xdr:col>
      <xdr:colOff>0</xdr:colOff>
      <xdr:row>11</xdr:row>
      <xdr:rowOff>0</xdr:rowOff>
    </xdr:to>
    <xdr:sp macro="" textlink="PIVOTS!A5">
      <xdr:nvSpPr>
        <xdr:cNvPr id="41" name="Rectangle 40">
          <a:extLst>
            <a:ext uri="{FF2B5EF4-FFF2-40B4-BE49-F238E27FC236}">
              <a16:creationId xmlns:a16="http://schemas.microsoft.com/office/drawing/2014/main" id="{6D85CD57-D064-4908-B751-19F56929F3E4}"/>
            </a:ext>
          </a:extLst>
        </xdr:cNvPr>
        <xdr:cNvSpPr/>
      </xdr:nvSpPr>
      <xdr:spPr>
        <a:xfrm>
          <a:off x="2632363" y="1636568"/>
          <a:ext cx="1212273" cy="363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34D646-0FEA-4381-8F4A-774C19C7CED2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16</a:t>
          </a:fld>
          <a:endParaRPr lang="en-US" sz="1400"/>
        </a:p>
      </xdr:txBody>
    </xdr:sp>
    <xdr:clientData/>
  </xdr:twoCellAnchor>
  <xdr:twoCellAnchor editAs="absolute">
    <xdr:from>
      <xdr:col>7</xdr:col>
      <xdr:colOff>0</xdr:colOff>
      <xdr:row>9</xdr:row>
      <xdr:rowOff>0</xdr:rowOff>
    </xdr:from>
    <xdr:to>
      <xdr:col>8</xdr:col>
      <xdr:colOff>395742</xdr:colOff>
      <xdr:row>11</xdr:row>
      <xdr:rowOff>0</xdr:rowOff>
    </xdr:to>
    <xdr:sp macro="" textlink="PIVOTS!A12">
      <xdr:nvSpPr>
        <xdr:cNvPr id="45" name="Rectangle 44">
          <a:extLst>
            <a:ext uri="{FF2B5EF4-FFF2-40B4-BE49-F238E27FC236}">
              <a16:creationId xmlns:a16="http://schemas.microsoft.com/office/drawing/2014/main" id="{013AEC69-5A80-4DCE-A142-7B176045BB2F}"/>
            </a:ext>
          </a:extLst>
        </xdr:cNvPr>
        <xdr:cNvSpPr/>
      </xdr:nvSpPr>
      <xdr:spPr>
        <a:xfrm>
          <a:off x="5056909" y="1636568"/>
          <a:ext cx="1001878" cy="363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DABC284-8320-42E1-9105-FAC872541FA6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t>15</a:t>
          </a:fld>
          <a:endParaRPr lang="en-US" sz="1400"/>
        </a:p>
      </xdr:txBody>
    </xdr:sp>
    <xdr:clientData/>
  </xdr:twoCellAnchor>
  <xdr:twoCellAnchor editAs="absolute">
    <xdr:from>
      <xdr:col>11</xdr:col>
      <xdr:colOff>271006</xdr:colOff>
      <xdr:row>9</xdr:row>
      <xdr:rowOff>0</xdr:rowOff>
    </xdr:from>
    <xdr:to>
      <xdr:col>13</xdr:col>
      <xdr:colOff>563879</xdr:colOff>
      <xdr:row>11</xdr:row>
      <xdr:rowOff>0</xdr:rowOff>
    </xdr:to>
    <xdr:sp macro="" textlink="PIVOTS!C5">
      <xdr:nvSpPr>
        <xdr:cNvPr id="46" name="Rectangle 45">
          <a:extLst>
            <a:ext uri="{FF2B5EF4-FFF2-40B4-BE49-F238E27FC236}">
              <a16:creationId xmlns:a16="http://schemas.microsoft.com/office/drawing/2014/main" id="{AA809EE4-1DC7-4E01-9AEE-320DBC9B2871}"/>
            </a:ext>
          </a:extLst>
        </xdr:cNvPr>
        <xdr:cNvSpPr/>
      </xdr:nvSpPr>
      <xdr:spPr>
        <a:xfrm>
          <a:off x="7752461" y="1636568"/>
          <a:ext cx="1505145" cy="3636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9C86C45-79B8-44FA-89B5-7848AC5C29D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₹ 2,757,000.00</a:t>
          </a:fld>
          <a:endParaRPr lang="en-US" sz="1400"/>
        </a:p>
      </xdr:txBody>
    </xdr:sp>
    <xdr:clientData/>
  </xdr:twoCellAnchor>
  <xdr:twoCellAnchor editAs="absolute">
    <xdr:from>
      <xdr:col>15</xdr:col>
      <xdr:colOff>389658</xdr:colOff>
      <xdr:row>9</xdr:row>
      <xdr:rowOff>0</xdr:rowOff>
    </xdr:from>
    <xdr:to>
      <xdr:col>17</xdr:col>
      <xdr:colOff>179263</xdr:colOff>
      <xdr:row>11</xdr:row>
      <xdr:rowOff>0</xdr:rowOff>
    </xdr:to>
    <xdr:sp macro="" textlink="PIVOTS!C12">
      <xdr:nvSpPr>
        <xdr:cNvPr id="47" name="Rectangle 46">
          <a:extLst>
            <a:ext uri="{FF2B5EF4-FFF2-40B4-BE49-F238E27FC236}">
              <a16:creationId xmlns:a16="http://schemas.microsoft.com/office/drawing/2014/main" id="{9CA3C32B-4883-4B5F-A9F1-CD83B1C661E3}"/>
            </a:ext>
          </a:extLst>
        </xdr:cNvPr>
        <xdr:cNvSpPr/>
      </xdr:nvSpPr>
      <xdr:spPr>
        <a:xfrm>
          <a:off x="10295658" y="1636568"/>
          <a:ext cx="1001878" cy="3636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28B02AD-70F1-47B9-B3F8-92B13F33193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₹ 668,000.00</a:t>
          </a:fld>
          <a:endParaRPr lang="en-US" sz="1400"/>
        </a:p>
      </xdr:txBody>
    </xdr:sp>
    <xdr:clientData/>
  </xdr:twoCellAnchor>
  <xdr:twoCellAnchor editAs="absolute">
    <xdr:from>
      <xdr:col>19</xdr:col>
      <xdr:colOff>355025</xdr:colOff>
      <xdr:row>8</xdr:row>
      <xdr:rowOff>143655</xdr:rowOff>
    </xdr:from>
    <xdr:to>
      <xdr:col>21</xdr:col>
      <xdr:colOff>355025</xdr:colOff>
      <xdr:row>11</xdr:row>
      <xdr:rowOff>38187</xdr:rowOff>
    </xdr:to>
    <xdr:sp macro="" textlink="PIVOTS!E5">
      <xdr:nvSpPr>
        <xdr:cNvPr id="48" name="Rectangle 47">
          <a:extLst>
            <a:ext uri="{FF2B5EF4-FFF2-40B4-BE49-F238E27FC236}">
              <a16:creationId xmlns:a16="http://schemas.microsoft.com/office/drawing/2014/main" id="{A33B65A4-F132-4064-8E12-D8AF27C089A9}"/>
            </a:ext>
          </a:extLst>
        </xdr:cNvPr>
        <xdr:cNvSpPr/>
      </xdr:nvSpPr>
      <xdr:spPr>
        <a:xfrm>
          <a:off x="12685570" y="1598382"/>
          <a:ext cx="1212273" cy="4400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A461F3E-0E91-40EE-993E-94A909312938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₹ 2,136,000.00</a:t>
          </a:fld>
          <a:endParaRPr lang="en-US" sz="1400"/>
        </a:p>
      </xdr:txBody>
    </xdr:sp>
    <xdr:clientData/>
  </xdr:twoCellAnchor>
  <xdr:twoCellAnchor editAs="absolute">
    <xdr:from>
      <xdr:col>23</xdr:col>
      <xdr:colOff>0</xdr:colOff>
      <xdr:row>7</xdr:row>
      <xdr:rowOff>0</xdr:rowOff>
    </xdr:from>
    <xdr:to>
      <xdr:col>26</xdr:col>
      <xdr:colOff>1</xdr:colOff>
      <xdr:row>11</xdr:row>
      <xdr:rowOff>166601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A6BB38C-F45F-4E4E-BB2E-CBFF4ECA3AC6}"/>
            </a:ext>
          </a:extLst>
        </xdr:cNvPr>
        <xdr:cNvSpPr/>
      </xdr:nvSpPr>
      <xdr:spPr>
        <a:xfrm>
          <a:off x="14755091" y="1272886"/>
          <a:ext cx="1818410" cy="89396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>
              <a:solidFill>
                <a:sysClr val="windowText" lastClr="000000"/>
              </a:solidFill>
            </a:rPr>
            <a:t>      Gain\Loss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23</xdr:col>
      <xdr:colOff>73936</xdr:colOff>
      <xdr:row>6</xdr:row>
      <xdr:rowOff>179763</xdr:rowOff>
    </xdr:from>
    <xdr:to>
      <xdr:col>23</xdr:col>
      <xdr:colOff>234463</xdr:colOff>
      <xdr:row>11</xdr:row>
      <xdr:rowOff>164523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3BC60A7-4F96-413B-ACD0-EB990C18F44B}"/>
            </a:ext>
          </a:extLst>
        </xdr:cNvPr>
        <xdr:cNvSpPr/>
      </xdr:nvSpPr>
      <xdr:spPr>
        <a:xfrm>
          <a:off x="14829027" y="1270808"/>
          <a:ext cx="160527" cy="89396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23</xdr:col>
      <xdr:colOff>355023</xdr:colOff>
      <xdr:row>8</xdr:row>
      <xdr:rowOff>112568</xdr:rowOff>
    </xdr:from>
    <xdr:to>
      <xdr:col>25</xdr:col>
      <xdr:colOff>355023</xdr:colOff>
      <xdr:row>11</xdr:row>
      <xdr:rowOff>7100</xdr:rowOff>
    </xdr:to>
    <xdr:sp macro="" textlink="PIVOTS!E10">
      <xdr:nvSpPr>
        <xdr:cNvPr id="51" name="Rectangle 50">
          <a:extLst>
            <a:ext uri="{FF2B5EF4-FFF2-40B4-BE49-F238E27FC236}">
              <a16:creationId xmlns:a16="http://schemas.microsoft.com/office/drawing/2014/main" id="{96A59B69-674E-40A5-8EC0-FC30BB38F134}"/>
            </a:ext>
          </a:extLst>
        </xdr:cNvPr>
        <xdr:cNvSpPr/>
      </xdr:nvSpPr>
      <xdr:spPr>
        <a:xfrm>
          <a:off x="15110114" y="1567295"/>
          <a:ext cx="1212273" cy="4400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839CBC6-8A3D-477A-BB76-35ADD1AD1B6E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₹ 47,000.00</a:t>
          </a:fld>
          <a:endParaRPr lang="en-US" sz="1400"/>
        </a:p>
      </xdr:txBody>
    </xdr:sp>
    <xdr:clientData/>
  </xdr:twoCellAnchor>
  <xdr:twoCellAnchor>
    <xdr:from>
      <xdr:col>21</xdr:col>
      <xdr:colOff>343480</xdr:colOff>
      <xdr:row>14</xdr:row>
      <xdr:rowOff>0</xdr:rowOff>
    </xdr:from>
    <xdr:to>
      <xdr:col>23</xdr:col>
      <xdr:colOff>596740</xdr:colOff>
      <xdr:row>15</xdr:row>
      <xdr:rowOff>90431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F60CDF30-159D-4FF2-B926-E8FB076FF1F9}"/>
            </a:ext>
          </a:extLst>
        </xdr:cNvPr>
        <xdr:cNvSpPr/>
      </xdr:nvSpPr>
      <xdr:spPr>
        <a:xfrm>
          <a:off x="14017147" y="2518833"/>
          <a:ext cx="1480926" cy="270348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Notifications!!</a:t>
          </a:r>
        </a:p>
      </xdr:txBody>
    </xdr:sp>
    <xdr:clientData/>
  </xdr:twoCellAnchor>
  <xdr:twoCellAnchor>
    <xdr:from>
      <xdr:col>3</xdr:col>
      <xdr:colOff>7696</xdr:colOff>
      <xdr:row>13</xdr:row>
      <xdr:rowOff>0</xdr:rowOff>
    </xdr:from>
    <xdr:to>
      <xdr:col>10</xdr:col>
      <xdr:colOff>3463</xdr:colOff>
      <xdr:row>29</xdr:row>
      <xdr:rowOff>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36B76E96-5120-4E44-9979-64A21C6EC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337661</xdr:colOff>
      <xdr:row>13</xdr:row>
      <xdr:rowOff>1</xdr:rowOff>
    </xdr:from>
    <xdr:to>
      <xdr:col>18</xdr:col>
      <xdr:colOff>1</xdr:colOff>
      <xdr:row>29</xdr:row>
      <xdr:rowOff>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968C53E0-47DE-409A-909A-DB3FB32AA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7695</xdr:colOff>
      <xdr:row>29</xdr:row>
      <xdr:rowOff>171914</xdr:rowOff>
    </xdr:from>
    <xdr:to>
      <xdr:col>18</xdr:col>
      <xdr:colOff>1</xdr:colOff>
      <xdr:row>47</xdr:row>
      <xdr:rowOff>179293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7EBEF5B-198F-4BD3-B5A3-E619FFE6A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C438FD-92CC-42A5-B7E7-FED6A0A14C31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137160</xdr:rowOff>
    </xdr:from>
    <xdr:to>
      <xdr:col>1</xdr:col>
      <xdr:colOff>1821180</xdr:colOff>
      <xdr:row>13</xdr:row>
      <xdr:rowOff>167640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332ED-1C38-4106-94CB-DC53E072C26C}"/>
            </a:ext>
          </a:extLst>
        </xdr:cNvPr>
        <xdr:cNvSpPr/>
      </xdr:nvSpPr>
      <xdr:spPr>
        <a:xfrm>
          <a:off x="289560" y="21488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212724-4AD7-449E-9EBF-CB4DE63D4E46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A92E6F-5576-463A-A5ED-6B33F11CEF79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1BE74B-D22F-4F88-AA3B-01E354AF3F51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9102A4C-1814-45BD-BDCC-FD4571C209A5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D45387-96D3-44F2-A02D-FCAFCDF9E320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33D0F3-D4DD-47F0-ADC3-E4FDEEE84C0A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2D5957-68CC-4EC4-9932-A69F8BCEC7B9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0</xdr:row>
      <xdr:rowOff>182568</xdr:rowOff>
    </xdr:from>
    <xdr:to>
      <xdr:col>21</xdr:col>
      <xdr:colOff>231581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8189F02-4E3C-44D4-A5A1-5537D2DDEF6B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6</xdr:row>
      <xdr:rowOff>45720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231EAFF8-8978-44A3-A9E7-D55EB272E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39988E-E4D6-48F3-8A0B-449D7A4DF1F6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137160</xdr:rowOff>
    </xdr:from>
    <xdr:to>
      <xdr:col>1</xdr:col>
      <xdr:colOff>1821180</xdr:colOff>
      <xdr:row>13</xdr:row>
      <xdr:rowOff>167640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16AF4-CFD4-4CF2-814E-19FB26919EEE}"/>
            </a:ext>
          </a:extLst>
        </xdr:cNvPr>
        <xdr:cNvSpPr/>
      </xdr:nvSpPr>
      <xdr:spPr>
        <a:xfrm>
          <a:off x="289560" y="21488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14FA9C-9DFB-4022-A216-0DA726A641B6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3C6B94-1C53-4C7E-94A3-3692836E4711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20626B-3650-4605-AF46-1866FD565304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F14C55F-8E7F-4889-8A27-30B710E22B85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2C19A7D-8613-45F1-9834-5286F419CFCA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CF943F-87B6-4EE0-84DB-899BFB975FD4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E0B228-B228-465A-8443-A702D996CA9B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0</xdr:row>
      <xdr:rowOff>182568</xdr:rowOff>
    </xdr:from>
    <xdr:to>
      <xdr:col>21</xdr:col>
      <xdr:colOff>79181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D8F8B3B-7A58-4FF7-B4DC-F24936DACE17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Products</a:t>
          </a:r>
          <a:r>
            <a:rPr lang="en-US" sz="2800" b="1" baseline="0">
              <a:solidFill>
                <a:schemeClr val="tx1"/>
              </a:solidFill>
            </a:rPr>
            <a:t> </a:t>
          </a:r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C7E93BCE-9D73-4823-A969-FA023B32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905110-7D9D-408C-BD8D-8A62E709380B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137160</xdr:rowOff>
    </xdr:from>
    <xdr:to>
      <xdr:col>1</xdr:col>
      <xdr:colOff>1821180</xdr:colOff>
      <xdr:row>13</xdr:row>
      <xdr:rowOff>167640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B7DF37-7760-4C94-B6E9-EF262C5B7E66}"/>
            </a:ext>
          </a:extLst>
        </xdr:cNvPr>
        <xdr:cNvSpPr/>
      </xdr:nvSpPr>
      <xdr:spPr>
        <a:xfrm>
          <a:off x="289560" y="21488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36768-BB07-4147-8830-B7BE6E798D65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BCE767-CAC1-4042-AE3B-0A0F0B7DF8B5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C4959C-4B6F-468B-A559-6BC99483E331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0E44399-7B5E-412C-A4A2-5F1DE3AF1D43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0CAFC0-D55A-4092-8EC9-915C77212549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248E12-9F13-4D21-9C1D-43B56E985701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2B7E16E-9017-4DD8-B197-8D8BCFD0AE2B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0</xdr:row>
      <xdr:rowOff>182568</xdr:rowOff>
    </xdr:from>
    <xdr:to>
      <xdr:col>21</xdr:col>
      <xdr:colOff>231581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1C90EC6-E2B8-4189-BC31-F26901A55A36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0A95C99B-5A9B-4CA4-B757-9791BEB40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4A615B-1829-4F10-A24F-29F9CB556A66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12</xdr:row>
      <xdr:rowOff>0</xdr:rowOff>
    </xdr:from>
    <xdr:to>
      <xdr:col>1</xdr:col>
      <xdr:colOff>1821180</xdr:colOff>
      <xdr:row>13</xdr:row>
      <xdr:rowOff>213360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E8531-AD97-4688-AA72-41EA33DEE5E1}"/>
            </a:ext>
          </a:extLst>
        </xdr:cNvPr>
        <xdr:cNvSpPr/>
      </xdr:nvSpPr>
      <xdr:spPr>
        <a:xfrm>
          <a:off x="289560" y="23393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15240</xdr:colOff>
      <xdr:row>13</xdr:row>
      <xdr:rowOff>213360</xdr:rowOff>
    </xdr:from>
    <xdr:to>
      <xdr:col>2</xdr:col>
      <xdr:colOff>0</xdr:colOff>
      <xdr:row>15</xdr:row>
      <xdr:rowOff>99060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4B4C06-17DA-4971-BC76-6A037E3BA491}"/>
            </a:ext>
          </a:extLst>
        </xdr:cNvPr>
        <xdr:cNvSpPr/>
      </xdr:nvSpPr>
      <xdr:spPr>
        <a:xfrm>
          <a:off x="297180" y="2735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15240</xdr:colOff>
      <xdr:row>15</xdr:row>
      <xdr:rowOff>99060</xdr:rowOff>
    </xdr:from>
    <xdr:to>
      <xdr:col>2</xdr:col>
      <xdr:colOff>0</xdr:colOff>
      <xdr:row>17</xdr:row>
      <xdr:rowOff>129540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FEB12B-3B8F-4DCA-ADDB-2CB464D06644}"/>
            </a:ext>
          </a:extLst>
        </xdr:cNvPr>
        <xdr:cNvSpPr/>
      </xdr:nvSpPr>
      <xdr:spPr>
        <a:xfrm>
          <a:off x="297180" y="31318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17</xdr:row>
      <xdr:rowOff>152400</xdr:rowOff>
    </xdr:from>
    <xdr:to>
      <xdr:col>1</xdr:col>
      <xdr:colOff>1821180</xdr:colOff>
      <xdr:row>20</xdr:row>
      <xdr:rowOff>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12079E-0F63-4E50-A42F-C147A79C58E8}"/>
            </a:ext>
          </a:extLst>
        </xdr:cNvPr>
        <xdr:cNvSpPr/>
      </xdr:nvSpPr>
      <xdr:spPr>
        <a:xfrm>
          <a:off x="289560" y="35509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0</xdr:rowOff>
    </xdr:from>
    <xdr:to>
      <xdr:col>1</xdr:col>
      <xdr:colOff>1821180</xdr:colOff>
      <xdr:row>22</xdr:row>
      <xdr:rowOff>30480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1AB5CAC-C970-4C38-8F6F-FE21850E195D}"/>
            </a:ext>
          </a:extLst>
        </xdr:cNvPr>
        <xdr:cNvSpPr/>
      </xdr:nvSpPr>
      <xdr:spPr>
        <a:xfrm>
          <a:off x="289560" y="394716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15240</xdr:colOff>
      <xdr:row>22</xdr:row>
      <xdr:rowOff>53340</xdr:rowOff>
    </xdr:from>
    <xdr:to>
      <xdr:col>2</xdr:col>
      <xdr:colOff>0</xdr:colOff>
      <xdr:row>24</xdr:row>
      <xdr:rowOff>83820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670BA9-30C4-4575-ACF6-CD1833882472}"/>
            </a:ext>
          </a:extLst>
        </xdr:cNvPr>
        <xdr:cNvSpPr/>
      </xdr:nvSpPr>
      <xdr:spPr>
        <a:xfrm>
          <a:off x="297180" y="436626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24</xdr:row>
      <xdr:rowOff>60960</xdr:rowOff>
    </xdr:from>
    <xdr:to>
      <xdr:col>1</xdr:col>
      <xdr:colOff>1821180</xdr:colOff>
      <xdr:row>26</xdr:row>
      <xdr:rowOff>91440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327E3B-8674-4D90-ABE7-A143840AF2A4}"/>
            </a:ext>
          </a:extLst>
        </xdr:cNvPr>
        <xdr:cNvSpPr/>
      </xdr:nvSpPr>
      <xdr:spPr>
        <a:xfrm>
          <a:off x="289560" y="47396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80BF6C-6C47-4D05-B0DC-D6CA3144E9F9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0</xdr:row>
      <xdr:rowOff>182568</xdr:rowOff>
    </xdr:from>
    <xdr:to>
      <xdr:col>21</xdr:col>
      <xdr:colOff>231581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B5FA254-2B39-46E0-A603-061AD7A26A98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New</a:t>
          </a:r>
          <a:r>
            <a:rPr lang="en-US" sz="2800" b="1" baseline="0">
              <a:solidFill>
                <a:schemeClr val="tx1"/>
              </a:solidFill>
            </a:rPr>
            <a:t> Entry</a:t>
          </a:r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A905B47A-AFD2-460E-9B7D-2C36DBD1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C1276D7-9D21-4F26-A93D-DDE23CDDD0D2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137160</xdr:rowOff>
    </xdr:from>
    <xdr:to>
      <xdr:col>1</xdr:col>
      <xdr:colOff>1821180</xdr:colOff>
      <xdr:row>13</xdr:row>
      <xdr:rowOff>167640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C6B41-472E-44D0-A8BA-858403611ADC}"/>
            </a:ext>
          </a:extLst>
        </xdr:cNvPr>
        <xdr:cNvSpPr/>
      </xdr:nvSpPr>
      <xdr:spPr>
        <a:xfrm>
          <a:off x="289560" y="21488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1DB3CD-7376-4580-A059-5847CC04E2CA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38E200-22BF-4A09-96B2-FC645A4BD0EE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53A716-1FE9-414F-B9BF-1C29FDDA8D18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9563B5C-C022-4EAA-9FF3-71A0E3CD4C60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A03056-CDD9-4EB8-9B80-DBC104954370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3ACA75-2F2D-4320-B6B7-50985022D5BE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F06F18-7E27-48F9-9507-EA189E26AB9B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0</xdr:row>
      <xdr:rowOff>182568</xdr:rowOff>
    </xdr:from>
    <xdr:to>
      <xdr:col>21</xdr:col>
      <xdr:colOff>231581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12317A7-1A6C-4913-B864-BB5F3B87DB0A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D0AC7DF4-1E1F-4C6D-8C88-0A3756499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C646E2-EF80-45EC-B0E1-710A074DADD0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12</xdr:row>
      <xdr:rowOff>0</xdr:rowOff>
    </xdr:from>
    <xdr:to>
      <xdr:col>1</xdr:col>
      <xdr:colOff>1821180</xdr:colOff>
      <xdr:row>14</xdr:row>
      <xdr:rowOff>30480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C8E5B-3564-48ED-B0DC-8538C79FB064}"/>
            </a:ext>
          </a:extLst>
        </xdr:cNvPr>
        <xdr:cNvSpPr/>
      </xdr:nvSpPr>
      <xdr:spPr>
        <a:xfrm>
          <a:off x="289560" y="2377440"/>
          <a:ext cx="1813560" cy="487680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A3308E-8A67-4F1E-BB24-58986F15813A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47CCB7-DB6F-4032-9C97-487B50BA7A9C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D483EA-1455-49B6-BA51-6F8F9FC68D8C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C20C233-2D28-4523-BAD6-73A8F168F846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AD1EDA-FB53-4E0A-B420-B032FA5B744E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6A81E2-1A75-4DFA-A71A-6131D8CEE2D0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F8118F-EC39-4E1C-8ECB-EB73068CB35B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0</xdr:row>
      <xdr:rowOff>182568</xdr:rowOff>
    </xdr:from>
    <xdr:to>
      <xdr:col>17</xdr:col>
      <xdr:colOff>140141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F27D5C5-90F5-4E7D-90EB-3879018CA7F3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0744D161-E10D-4C85-B510-E5FAFE52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15240</xdr:rowOff>
    </xdr:from>
    <xdr:to>
      <xdr:col>1</xdr:col>
      <xdr:colOff>1813560</xdr:colOff>
      <xdr:row>10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EE820FE-1B26-4EF6-8948-D72084685048}"/>
            </a:ext>
          </a:extLst>
        </xdr:cNvPr>
        <xdr:cNvSpPr/>
      </xdr:nvSpPr>
      <xdr:spPr>
        <a:xfrm>
          <a:off x="281940" y="1295400"/>
          <a:ext cx="1813560" cy="640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  <a:r>
            <a:rPr lang="en-US" sz="1400" b="1" baseline="0">
              <a:solidFill>
                <a:schemeClr val="tx1"/>
              </a:solidFill>
            </a:rPr>
            <a:t> Management System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11</xdr:row>
      <xdr:rowOff>137160</xdr:rowOff>
    </xdr:from>
    <xdr:to>
      <xdr:col>1</xdr:col>
      <xdr:colOff>1821180</xdr:colOff>
      <xdr:row>13</xdr:row>
      <xdr:rowOff>167640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D5A0C-0547-4BC4-B924-7C2CD1A5EFF7}"/>
            </a:ext>
          </a:extLst>
        </xdr:cNvPr>
        <xdr:cNvSpPr/>
      </xdr:nvSpPr>
      <xdr:spPr>
        <a:xfrm>
          <a:off x="289560" y="21488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DASHBOARD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7620</xdr:rowOff>
    </xdr:from>
    <xdr:to>
      <xdr:col>1</xdr:col>
      <xdr:colOff>1813560</xdr:colOff>
      <xdr:row>16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410618-E9CE-418E-9BE0-FF939CE7E39F}"/>
            </a:ext>
          </a:extLst>
        </xdr:cNvPr>
        <xdr:cNvSpPr/>
      </xdr:nvSpPr>
      <xdr:spPr>
        <a:xfrm>
          <a:off x="281940" y="256794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CUSTOMERS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16</xdr:row>
      <xdr:rowOff>53340</xdr:rowOff>
    </xdr:from>
    <xdr:to>
      <xdr:col>1</xdr:col>
      <xdr:colOff>1821180</xdr:colOff>
      <xdr:row>18</xdr:row>
      <xdr:rowOff>83820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A912CF-57C3-48C0-AB14-36797769A9A6}"/>
            </a:ext>
          </a:extLst>
        </xdr:cNvPr>
        <xdr:cNvSpPr/>
      </xdr:nvSpPr>
      <xdr:spPr>
        <a:xfrm>
          <a:off x="289560" y="297942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PRODUCTS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18</xdr:row>
      <xdr:rowOff>99060</xdr:rowOff>
    </xdr:from>
    <xdr:to>
      <xdr:col>1</xdr:col>
      <xdr:colOff>1821180</xdr:colOff>
      <xdr:row>20</xdr:row>
      <xdr:rowOff>129540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6EB6EB-2706-4293-AC2F-24A366DDA839}"/>
            </a:ext>
          </a:extLst>
        </xdr:cNvPr>
        <xdr:cNvSpPr/>
      </xdr:nvSpPr>
      <xdr:spPr>
        <a:xfrm>
          <a:off x="289560" y="33909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VENDORS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152400</xdr:rowOff>
    </xdr:from>
    <xdr:to>
      <xdr:col>1</xdr:col>
      <xdr:colOff>1821180</xdr:colOff>
      <xdr:row>23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23932C3-B466-4131-87DD-B125C7030DD4}"/>
            </a:ext>
          </a:extLst>
        </xdr:cNvPr>
        <xdr:cNvSpPr/>
      </xdr:nvSpPr>
      <xdr:spPr>
        <a:xfrm>
          <a:off x="289560" y="381000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NEW ENTRY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23</xdr:row>
      <xdr:rowOff>15240</xdr:rowOff>
    </xdr:from>
    <xdr:to>
      <xdr:col>1</xdr:col>
      <xdr:colOff>1813560</xdr:colOff>
      <xdr:row>25</xdr:row>
      <xdr:rowOff>45720</xdr:rowOff>
    </xdr:to>
    <xdr:sp macro="" textlink="">
      <xdr:nvSpPr>
        <xdr:cNvPr id="8" name="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A54244-F3AC-4DB4-8D99-D6A75F026634}"/>
            </a:ext>
          </a:extLst>
        </xdr:cNvPr>
        <xdr:cNvSpPr/>
      </xdr:nvSpPr>
      <xdr:spPr>
        <a:xfrm>
          <a:off x="281940" y="42214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PURCHASE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1</xdr:col>
      <xdr:colOff>1813560</xdr:colOff>
      <xdr:row>27</xdr:row>
      <xdr:rowOff>99060</xdr:rowOff>
    </xdr:to>
    <xdr:sp macro="" textlink="">
      <xdr:nvSpPr>
        <xdr:cNvPr id="9" name="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0B40BD1-1DA0-41DD-BB20-614D6884ED8E}"/>
            </a:ext>
          </a:extLst>
        </xdr:cNvPr>
        <xdr:cNvSpPr/>
      </xdr:nvSpPr>
      <xdr:spPr>
        <a:xfrm>
          <a:off x="281940" y="4640580"/>
          <a:ext cx="1813560" cy="3962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SALES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27</xdr:row>
      <xdr:rowOff>121920</xdr:rowOff>
    </xdr:from>
    <xdr:to>
      <xdr:col>1</xdr:col>
      <xdr:colOff>1813560</xdr:colOff>
      <xdr:row>29</xdr:row>
      <xdr:rowOff>152400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2666FF-AD95-446F-9C7B-CA6D447CDEEB}"/>
            </a:ext>
          </a:extLst>
        </xdr:cNvPr>
        <xdr:cNvSpPr/>
      </xdr:nvSpPr>
      <xdr:spPr>
        <a:xfrm>
          <a:off x="281940" y="5059680"/>
          <a:ext cx="1813560" cy="39624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INVENTORY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0</xdr:row>
      <xdr:rowOff>182568</xdr:rowOff>
    </xdr:from>
    <xdr:to>
      <xdr:col>20</xdr:col>
      <xdr:colOff>231581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1803F3C-0B8C-45BD-B906-F32AC9885774}"/>
            </a:ext>
          </a:extLst>
        </xdr:cNvPr>
        <xdr:cNvSpPr/>
      </xdr:nvSpPr>
      <xdr:spPr>
        <a:xfrm>
          <a:off x="2720340" y="182568"/>
          <a:ext cx="11204381" cy="73183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>
              <a:solidFill>
                <a:schemeClr val="tx1"/>
              </a:solidFill>
            </a:rPr>
            <a:t>   </a:t>
          </a:r>
          <a:r>
            <a:rPr lang="en-US" sz="2800" b="1">
              <a:solidFill>
                <a:schemeClr val="tx1"/>
              </a:solidFill>
            </a:rPr>
            <a:t>Inventory Management</a:t>
          </a:r>
        </a:p>
      </xdr:txBody>
    </xdr:sp>
    <xdr:clientData/>
  </xdr:twoCellAnchor>
  <xdr:twoCellAnchor editAs="oneCell">
    <xdr:from>
      <xdr:col>1</xdr:col>
      <xdr:colOff>579704</xdr:colOff>
      <xdr:row>3</xdr:row>
      <xdr:rowOff>106972</xdr:rowOff>
    </xdr:from>
    <xdr:to>
      <xdr:col>1</xdr:col>
      <xdr:colOff>1204252</xdr:colOff>
      <xdr:row>7</xdr:row>
      <xdr:rowOff>0</xdr:rowOff>
    </xdr:to>
    <xdr:pic>
      <xdr:nvPicPr>
        <xdr:cNvPr id="12" name="Graphic 11" descr="Database with solid fill">
          <a:extLst>
            <a:ext uri="{FF2B5EF4-FFF2-40B4-BE49-F238E27FC236}">
              <a16:creationId xmlns:a16="http://schemas.microsoft.com/office/drawing/2014/main" id="{AD6710B5-2317-44C1-9E8E-DDA7EDBE9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1644" y="655612"/>
          <a:ext cx="624548" cy="62454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776775578706" createdVersion="7" refreshedVersion="7" minRefreshableVersion="3" recordCount="11" xr:uid="{C5BE8B90-5FB9-446F-800F-67A6820E70B8}">
  <cacheSource type="worksheet">
    <worksheetSource name="INVENTORY"/>
  </cacheSource>
  <cacheFields count="8">
    <cacheField name="HSN Code" numFmtId="0">
      <sharedItems/>
    </cacheField>
    <cacheField name="Product Name" numFmtId="0">
      <sharedItems count="11">
        <s v="Laptop"/>
        <s v="Mouse"/>
        <s v="Keyboard"/>
        <s v="Monitor"/>
        <s v="Smartphone"/>
        <s v="Tablet"/>
        <s v="Printer"/>
        <s v="Scanner"/>
        <s v="Router"/>
        <s v="Webcam"/>
        <s v="Headphones"/>
      </sharedItems>
    </cacheField>
    <cacheField name="Cost" numFmtId="0">
      <sharedItems containsSemiMixedTypes="0" containsString="0" containsNumber="1" containsInteger="1" minValue="200" maxValue="45000"/>
    </cacheField>
    <cacheField name="P Units" numFmtId="0">
      <sharedItems containsString="0" containsBlank="1" containsNumber="1" containsInteger="1" minValue="10" maxValue="100"/>
    </cacheField>
    <cacheField name="S Units" numFmtId="0">
      <sharedItems containsString="0" containsBlank="1" containsNumber="1" containsInteger="1" minValue="0" maxValue="50"/>
    </cacheField>
    <cacheField name="Remaining Stock Unit" numFmtId="0">
      <sharedItems containsString="0" containsBlank="1" containsNumber="1" containsInteger="1" minValue="5" maxValue="50"/>
    </cacheField>
    <cacheField name="Stock Amt" numFmtId="0">
      <sharedItems containsString="0" containsBlank="1" containsNumber="1" containsInteger="1" minValue="1000" maxValue="1035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776776157407" createdVersion="7" refreshedVersion="7" minRefreshableVersion="3" recordCount="21" xr:uid="{E5C077A2-ADC8-440F-B725-E68A5C49442F}">
  <cacheSource type="worksheet">
    <worksheetSource name="Table5"/>
  </cacheSource>
  <cacheFields count="9">
    <cacheField name="CustomerID" numFmtId="0">
      <sharedItems containsBlank="1"/>
    </cacheField>
    <cacheField name="Customer Name" numFmtId="0">
      <sharedItems containsBlank="1" count="8">
        <s v="Beta Ltd"/>
        <s v="Zeta Pvt"/>
        <s v="Nu Tech"/>
        <s v="Iota Solutions"/>
        <s v="Eta Traders"/>
        <s v="Alpha Corp"/>
        <s v="Gamma Inc"/>
        <m/>
      </sharedItems>
    </cacheField>
    <cacheField name="HSN Code " numFmtId="0">
      <sharedItems containsBlank="1"/>
    </cacheField>
    <cacheField name="Product Name" numFmtId="0">
      <sharedItems containsBlank="1"/>
    </cacheField>
    <cacheField name="Date" numFmtId="0">
      <sharedItems containsNonDate="0" containsDate="1" containsString="0" containsBlank="1" minDate="2025-01-01T00:00:00" maxDate="2025-01-02T00:00:00"/>
    </cacheField>
    <cacheField name="Stocks(units)" numFmtId="0">
      <sharedItems containsString="0" containsBlank="1" containsNumber="1" containsInteger="1" minValue="5" maxValue="50"/>
    </cacheField>
    <cacheField name="Units" numFmtId="0">
      <sharedItems containsString="0" containsBlank="1" containsNumber="1" containsInteger="1" minValue="2" maxValue="50"/>
    </cacheField>
    <cacheField name="Price" numFmtId="0">
      <sharedItems containsMixedTypes="1" containsNumber="1" containsInteger="1" minValue="1200" maxValue="46000"/>
    </cacheField>
    <cacheField name="Amount" numFmtId="0">
      <sharedItems containsMixedTypes="1" containsNumber="1" containsInteger="1" minValue="6000" maxValue="19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77677650463" createdVersion="7" refreshedVersion="7" minRefreshableVersion="3" recordCount="15" xr:uid="{F30668D0-FA76-4C7F-8F3A-4AA1469996C2}">
  <cacheSource type="worksheet">
    <worksheetSource name="purchasedata"/>
  </cacheSource>
  <cacheFields count="7">
    <cacheField name="HSN Code 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String="0" containsBlank="1"/>
    </cacheField>
    <cacheField name="Units" numFmtId="0">
      <sharedItems containsString="0" containsBlank="1" containsNumber="1" containsInteger="1" minValue="5" maxValue="100"/>
    </cacheField>
    <cacheField name="Cost" numFmtId="0">
      <sharedItems containsMixedTypes="1" containsNumber="1" containsInteger="1" minValue="200" maxValue="45000"/>
    </cacheField>
    <cacheField name="Amount" numFmtId="0">
      <sharedItems containsMixedTypes="1" containsNumber="1" containsInteger="1" minValue="2000" maxValue="9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776776851853" createdVersion="7" refreshedVersion="7" minRefreshableVersion="3" recordCount="15" xr:uid="{4670CFD8-F4C6-438D-BE2C-33898E94AE09}">
  <cacheSource type="worksheet">
    <worksheetSource name="ProductsTable"/>
  </cacheSource>
  <cacheFields count="4">
    <cacheField name="HSN Code" numFmtId="0">
      <sharedItems/>
    </cacheField>
    <cacheField name="ProductName" numFmtId="0">
      <sharedItems/>
    </cacheField>
    <cacheField name="UnitPrice" numFmtId="0">
      <sharedItems containsSemiMixedTypes="0" containsString="0" containsNumber="1" containsInteger="1" minValue="200" maxValue="45000"/>
    </cacheField>
    <cacheField name="Selling Price" numFmtId="0">
      <sharedItems containsSemiMixedTypes="0" containsString="0" containsNumber="1" containsInteger="1" minValue="1200" maxValue="4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9.776777314815" createdVersion="7" refreshedVersion="7" minRefreshableVersion="3" recordCount="16" xr:uid="{20B7DA43-8578-4BDB-99C8-863B9919CC4F}">
  <cacheSource type="worksheet">
    <worksheetSource name="Customersdata"/>
  </cacheSource>
  <cacheFields count="4">
    <cacheField name="CustomerID" numFmtId="0">
      <sharedItems/>
    </cacheField>
    <cacheField name="Customer Name" numFmtId="0">
      <sharedItems/>
    </cacheField>
    <cacheField name="Email" numFmtId="0">
      <sharedItems containsBlank="1"/>
    </cacheField>
    <cacheField name="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H001"/>
    <x v="0"/>
    <n v="45000"/>
    <n v="25"/>
    <n v="2"/>
    <n v="23"/>
    <n v="1035000"/>
    <s v=" "/>
  </r>
  <r>
    <s v="H002"/>
    <x v="1"/>
    <n v="200"/>
    <n v="10"/>
    <n v="5"/>
    <n v="5"/>
    <n v="1000"/>
    <s v="📞 Mouse Needs to re-order ! PH 342535XXXX"/>
  </r>
  <r>
    <s v="H003"/>
    <x v="2"/>
    <n v="1500"/>
    <n v="100"/>
    <n v="50"/>
    <n v="50"/>
    <n v="75000"/>
    <s v=" "/>
  </r>
  <r>
    <s v="H004"/>
    <x v="3"/>
    <n v="21000"/>
    <n v="10"/>
    <n v="0"/>
    <n v="10"/>
    <n v="210000"/>
    <s v=" "/>
  </r>
  <r>
    <s v="H005"/>
    <x v="4"/>
    <n v="25000"/>
    <n v="30"/>
    <n v="5"/>
    <n v="25"/>
    <n v="625000"/>
    <s v=" "/>
  </r>
  <r>
    <s v="H006"/>
    <x v="5"/>
    <n v="18000"/>
    <n v="10"/>
    <n v="5"/>
    <n v="5"/>
    <n v="90000"/>
    <s v="📞 Tablet Needs to re-order ! PH 85684XXXXX"/>
  </r>
  <r>
    <s v="H007"/>
    <x v="6"/>
    <n v="10000"/>
    <n v="30"/>
    <n v="20"/>
    <n v="10"/>
    <n v="100000"/>
    <s v=" "/>
  </r>
  <r>
    <s v="H008"/>
    <x v="7"/>
    <n v="4000"/>
    <m/>
    <m/>
    <m/>
    <m/>
    <s v="📞 Product Name Needs to re-order ! PH 342535XXXX"/>
  </r>
  <r>
    <s v="H009"/>
    <x v="8"/>
    <n v="2000"/>
    <m/>
    <m/>
    <m/>
    <m/>
    <s v="📞 Product Name Needs to re-order ! PH 85684XXXXX"/>
  </r>
  <r>
    <s v="H010"/>
    <x v="9"/>
    <n v="1500"/>
    <m/>
    <m/>
    <m/>
    <m/>
    <s v="📞 Product Name Needs to re-order ! PH 876876XXXX"/>
  </r>
  <r>
    <s v="H011"/>
    <x v="10"/>
    <n v="3000"/>
    <m/>
    <m/>
    <m/>
    <m/>
    <s v="📞 Product Name Needs to re-order ! PH 342535XXXX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UST002"/>
    <x v="0"/>
    <s v="H006"/>
    <s v="Tablet"/>
    <d v="2025-01-01T00:00:00"/>
    <n v="5"/>
    <n v="5"/>
    <n v="19000"/>
    <n v="95000"/>
  </r>
  <r>
    <s v="CUST006"/>
    <x v="1"/>
    <s v="H003"/>
    <s v="Keyboard"/>
    <m/>
    <n v="50"/>
    <n v="50"/>
    <n v="2500"/>
    <n v="125000"/>
  </r>
  <r>
    <s v="CUST013"/>
    <x v="2"/>
    <s v="H007"/>
    <s v="Printer"/>
    <m/>
    <n v="10"/>
    <n v="18"/>
    <n v="11000"/>
    <n v="198000"/>
  </r>
  <r>
    <s v="CUST009"/>
    <x v="3"/>
    <s v="H001"/>
    <s v="Laptop"/>
    <m/>
    <n v="23"/>
    <n v="2"/>
    <n v="46000"/>
    <n v="92000"/>
  </r>
  <r>
    <s v="CUST007"/>
    <x v="4"/>
    <s v="H002"/>
    <s v="Mouse"/>
    <m/>
    <n v="5"/>
    <n v="5"/>
    <n v="1200"/>
    <n v="6000"/>
  </r>
  <r>
    <s v="CUST001"/>
    <x v="5"/>
    <s v="H007"/>
    <s v="Printer"/>
    <m/>
    <n v="10"/>
    <n v="2"/>
    <n v="11000"/>
    <n v="22000"/>
  </r>
  <r>
    <s v="CUST003"/>
    <x v="6"/>
    <s v="H005"/>
    <s v="Smartphone"/>
    <m/>
    <n v="25"/>
    <n v="5"/>
    <n v="26000"/>
    <n v="130000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  <r>
    <m/>
    <x v="7"/>
    <m/>
    <m/>
    <m/>
    <m/>
    <m/>
    <s v=" "/>
    <s v=" 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H006"/>
    <s v="Tablet"/>
    <s v="Global Supplies"/>
    <m/>
    <n v="10"/>
    <n v="18000"/>
    <n v="180000"/>
  </r>
  <r>
    <s v="H008"/>
    <s v="Scanner"/>
    <s v="TechSource"/>
    <m/>
    <n v="10"/>
    <n v="4000"/>
    <n v="40000"/>
  </r>
  <r>
    <s v="H001"/>
    <s v="Laptop"/>
    <s v="Global Supplies"/>
    <m/>
    <n v="20"/>
    <n v="45000"/>
    <n v="900000"/>
  </r>
  <r>
    <s v="H004"/>
    <s v="Monitor"/>
    <s v="QuickBuy"/>
    <m/>
    <n v="10"/>
    <n v="21000"/>
    <n v="210000"/>
  </r>
  <r>
    <s v="H002"/>
    <s v="Mouse"/>
    <s v="TechSource"/>
    <m/>
    <n v="10"/>
    <n v="200"/>
    <n v="2000"/>
  </r>
  <r>
    <s v="H001"/>
    <s v="Laptop"/>
    <s v="Global Supplies"/>
    <m/>
    <n v="5"/>
    <n v="45000"/>
    <n v="225000"/>
  </r>
  <r>
    <s v="H003"/>
    <s v="Keyboard"/>
    <s v="MegaTrade"/>
    <m/>
    <n v="100"/>
    <n v="1500"/>
    <n v="150000"/>
  </r>
  <r>
    <s v="H007"/>
    <s v="Printer"/>
    <s v="QuickBuy"/>
    <m/>
    <n v="30"/>
    <n v="10000"/>
    <n v="300000"/>
  </r>
  <r>
    <s v="H005"/>
    <s v="Smartphone"/>
    <s v="MegaTrade"/>
    <m/>
    <n v="30"/>
    <n v="25000"/>
    <n v="750000"/>
  </r>
  <r>
    <m/>
    <s v=" "/>
    <s v=" "/>
    <m/>
    <m/>
    <s v=" "/>
    <s v=""/>
  </r>
  <r>
    <m/>
    <s v=" "/>
    <s v=" "/>
    <m/>
    <m/>
    <s v=" "/>
    <s v=""/>
  </r>
  <r>
    <m/>
    <s v=" "/>
    <s v=" "/>
    <m/>
    <m/>
    <s v=" "/>
    <s v=""/>
  </r>
  <r>
    <m/>
    <s v=" "/>
    <s v=" "/>
    <m/>
    <m/>
    <s v=" "/>
    <s v=""/>
  </r>
  <r>
    <m/>
    <s v=" "/>
    <s v=" "/>
    <m/>
    <m/>
    <s v=" "/>
    <s v=""/>
  </r>
  <r>
    <m/>
    <s v=" "/>
    <s v=" "/>
    <m/>
    <m/>
    <s v=" 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H001"/>
    <s v="Laptop"/>
    <n v="45000"/>
    <n v="46000"/>
  </r>
  <r>
    <s v="H002"/>
    <s v="Mouse"/>
    <n v="200"/>
    <n v="1200"/>
  </r>
  <r>
    <s v="H003"/>
    <s v="Keyboard"/>
    <n v="1500"/>
    <n v="2500"/>
  </r>
  <r>
    <s v="H004"/>
    <s v="Monitor"/>
    <n v="21000"/>
    <n v="22000"/>
  </r>
  <r>
    <s v="H005"/>
    <s v="Smartphone"/>
    <n v="25000"/>
    <n v="26000"/>
  </r>
  <r>
    <s v="H006"/>
    <s v="Tablet"/>
    <n v="18000"/>
    <n v="19000"/>
  </r>
  <r>
    <s v="H007"/>
    <s v="Printer"/>
    <n v="10000"/>
    <n v="11000"/>
  </r>
  <r>
    <s v="H008"/>
    <s v="Scanner"/>
    <n v="4000"/>
    <n v="5000"/>
  </r>
  <r>
    <s v="H009"/>
    <s v="Router"/>
    <n v="2000"/>
    <n v="3000"/>
  </r>
  <r>
    <s v="H010"/>
    <s v="Webcam"/>
    <n v="1500"/>
    <n v="2500"/>
  </r>
  <r>
    <s v="H011"/>
    <s v="Headphones"/>
    <n v="3000"/>
    <n v="4000"/>
  </r>
  <r>
    <s v="H012"/>
    <s v="Speaker"/>
    <n v="1000"/>
    <n v="2000"/>
  </r>
  <r>
    <s v="H013"/>
    <s v="Smartwatch"/>
    <n v="2500"/>
    <n v="3500"/>
  </r>
  <r>
    <s v="H014"/>
    <s v="External HDD"/>
    <n v="6000"/>
    <n v="7000"/>
  </r>
  <r>
    <s v="H015"/>
    <s v="USB Drive"/>
    <n v="500"/>
    <n v="15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UST001"/>
    <s v="Alpha Corp"/>
    <s v="alphacorporationgmail.com"/>
    <s v="Delhi India "/>
  </r>
  <r>
    <s v="CUST002"/>
    <s v="Beta Ltd"/>
    <s v="betaltdcorporationgmail.com"/>
    <s v="Palwal , Mumbai"/>
  </r>
  <r>
    <s v="CUST003"/>
    <s v="Gamma Inc"/>
    <s v="gammaincorporationgmail.com"/>
    <s v="Gandhidham gujarat "/>
  </r>
  <r>
    <s v="CUST004"/>
    <s v="Delta Co"/>
    <s v="deltacorporationgmail.com"/>
    <s v="agra , UP"/>
  </r>
  <r>
    <s v="CUST005"/>
    <s v="Epsilon LLC"/>
    <s v="epsilonllcorporationgmail.com"/>
    <s v="Gurgaon"/>
  </r>
  <r>
    <s v="CUST006"/>
    <s v="Zeta Pvt"/>
    <s v="zetapvtcorporationgmail.com"/>
    <s v="Janpath marg , New delhi"/>
  </r>
  <r>
    <s v="CUST007"/>
    <s v="Eta Traders"/>
    <s v="etatraderscorporationgmail.com"/>
    <s v="Patel Nagar , Delhi"/>
  </r>
  <r>
    <s v="CUST008"/>
    <s v="Theta Tech"/>
    <s v="thetatechcorporationgmail.com"/>
    <s v="ORN , New delhi"/>
  </r>
  <r>
    <s v="CUST009"/>
    <s v="Iota Solutions"/>
    <s v="iotasolutionscorporationgmail.com"/>
    <s v="Kullu , H.P."/>
  </r>
  <r>
    <s v="CUST010"/>
    <s v="Kappa Co"/>
    <s v="kappacocorporationgmail.com"/>
    <s v="Shimla, H.P."/>
  </r>
  <r>
    <s v="CUST011"/>
    <s v="Lambda Ltd"/>
    <s v="lambdaltdcorporationgmail.com"/>
    <s v="Manali , H.P."/>
  </r>
  <r>
    <s v="CUST012"/>
    <s v="Mu Corp"/>
    <s v="mucorpcorporationgmail.com"/>
    <s v="Spiti , H.P."/>
  </r>
  <r>
    <s v="CUST013"/>
    <s v="Nu Tech"/>
    <s v="nutechcorporationgmail.com"/>
    <s v="Nainital, U.K."/>
  </r>
  <r>
    <s v="CUST014"/>
    <s v="Xi Inc"/>
    <s v="xiinccorporationgmail.com"/>
    <s v="Dharmshala , H.P."/>
  </r>
  <r>
    <s v="CUST015"/>
    <s v="Omicron Org"/>
    <s v="omicronorgcorporationgmail.com"/>
    <s v="Kangra , H.P."/>
  </r>
  <r>
    <s v="cust0156"/>
    <s v="hcl technologie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14447-B39D-4AB7-A2FA-215C90987EFD}" name="PivotTable11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20:B32" firstHeaderRow="1" firstDataRow="1" firstDataCol="1"/>
  <pivotFields count="8">
    <pivotField showAll="0"/>
    <pivotField axis="axisRow" showAll="0">
      <items count="12">
        <item x="10"/>
        <item x="2"/>
        <item x="0"/>
        <item x="3"/>
        <item x="1"/>
        <item x="6"/>
        <item x="8"/>
        <item x="7"/>
        <item x="4"/>
        <item x="5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maining Stock Unit" fld="5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8F0C5-947A-4802-8483-D83F963B7B60}" name="PivotTable10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G10:H16" firstHeaderRow="1" firstDataRow="1" firstDataCol="1"/>
  <pivotFields count="9">
    <pivotField showAll="0"/>
    <pivotField axis="axisRow" showAll="0" measureFilter="1" sortType="descending">
      <items count="9">
        <item x="5"/>
        <item x="0"/>
        <item x="4"/>
        <item x="3"/>
        <item x="2"/>
        <item x="1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4"/>
    </i>
    <i>
      <x v="7"/>
    </i>
    <i>
      <x v="5"/>
    </i>
    <i>
      <x v="1"/>
    </i>
    <i>
      <x v="3"/>
    </i>
    <i t="grand">
      <x/>
    </i>
  </rowItems>
  <colItems count="1">
    <i/>
  </colItems>
  <dataFields count="1">
    <dataField name="Sum of Amount" fld="8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29E1F-C47A-4892-B18A-90C25F0C3BCF}" name="PivotTable9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9">
  <location ref="G1:H7" firstHeaderRow="1" firstDataRow="1" firstDataCol="1"/>
  <pivotFields count="8">
    <pivotField showAll="0"/>
    <pivotField axis="axisRow" showAll="0" measureFilter="1" sortType="descending">
      <items count="12">
        <item x="9"/>
        <item x="5"/>
        <item x="4"/>
        <item x="7"/>
        <item x="8"/>
        <item x="6"/>
        <item x="1"/>
        <item x="3"/>
        <item x="0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9"/>
    </i>
    <i>
      <x v="5"/>
    </i>
    <i>
      <x v="1"/>
    </i>
    <i>
      <x v="2"/>
    </i>
    <i>
      <x v="6"/>
    </i>
    <i t="grand">
      <x/>
    </i>
  </rowItems>
  <colItems count="1">
    <i/>
  </colItems>
  <dataFields count="1">
    <dataField name="Sum of S Units" fld="4" baseField="0" baseItem="0"/>
  </dataFields>
  <chartFormats count="1"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B535E-B618-4E97-984C-5F274E6A0F87}" name="PivotTable8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:E2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45855-4440-4912-8FD6-0F04A4BFBFA0}" name="PivotTable7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8:C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708F6-86F7-4FEB-8F38-7D8E6FA1B3D7}" name="PivotTable5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:C2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F930E-C5BC-48A0-9889-18584B4BA3E5}" name="PivotTable4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8:A9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9326E-4745-447C-9EBC-7BCAECD5F926}" name="PivotTable3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2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Customer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5FC6D-3F24-4187-83B6-63DF58B1D9B8}" name="Customersdata" displayName="Customersdata" ref="D7:G23" headerRowDxfId="44" dataDxfId="50" totalsRowDxfId="51" headerRowBorderDxfId="45">
  <autoFilter ref="D7:G23" xr:uid="{C845FC6D-3F24-4187-83B6-63DF58B1D9B8}"/>
  <tableColumns count="4">
    <tableColumn id="1" xr3:uid="{14541F8F-F22B-4A5F-8487-5BD8997057AA}" name="CustomerID" dataDxfId="53"/>
    <tableColumn id="2" xr3:uid="{B4A06106-C372-44D7-953D-540849CC7DBA}" name="Customer Name" dataDxfId="52"/>
    <tableColumn id="3" xr3:uid="{4D4D42B9-FE96-4D78-A83C-DFA0636515B9}" name="Email" dataDxfId="49" totalsRowDxfId="48"/>
    <tableColumn id="4" xr3:uid="{507D3751-6FD4-4320-B2D8-0F870A5517BB}" name="Address" dataDxfId="47" totalsRowDxfId="46"/>
  </tableColumns>
  <tableStyleInfo name="TableStyleMedium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C7156-FF79-4297-8D44-23AB7EE4B828}" name="ProductsTable" displayName="ProductsTable" ref="D8:G23" headerRowDxfId="41" dataDxfId="42" totalsRowDxfId="43">
  <autoFilter ref="D8:G23" xr:uid="{1C5C7156-FF79-4297-8D44-23AB7EE4B828}"/>
  <tableColumns count="4">
    <tableColumn id="1" xr3:uid="{4C3E8034-8FB8-41F7-B605-2A8D0A19CC0D}" name="HSN Code" dataDxfId="33"/>
    <tableColumn id="2" xr3:uid="{F0D2D167-3BF9-4FD5-AC8C-EDB68E17FF4D}" name="ProductName" dataDxfId="32"/>
    <tableColumn id="3" xr3:uid="{203ABE07-506E-4750-A9C5-750D8D5CFDE4}" name="UnitPrice" dataDxfId="31"/>
    <tableColumn id="4" xr3:uid="{F5A500DC-E9EB-493C-9167-D46283782208}" name="Selling Price" dataDxfId="30">
      <calculatedColumnFormula>ProductsTable[[#This Row],[UnitPrice]]+1000</calculatedColumnFormula>
    </tableColumn>
  </tableColumns>
  <tableStyleInfo name="TableStyleLight10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B3E165-029E-42C5-8675-F6FCA961D266}" name="vendor_data" displayName="vendor_data" ref="D8:H23" totalsRowShown="0" headerRowDxfId="37" tableBorderDxfId="40">
  <autoFilter ref="D8:H23" xr:uid="{4DB3E165-029E-42C5-8675-F6FCA961D266}"/>
  <tableColumns count="5">
    <tableColumn id="1" xr3:uid="{54FEAF3A-B2EB-4BEC-8A37-E27E68F3A2C1}" name="HSN Code" dataDxfId="39"/>
    <tableColumn id="2" xr3:uid="{19B82C06-4A64-4024-A6F8-2FA0E467A72B}" name="Product Name" dataDxfId="36"/>
    <tableColumn id="3" xr3:uid="{401ADA20-26CB-49C2-9FE8-90B594AA1F1D}" name="Vendor Name " dataDxfId="34"/>
    <tableColumn id="4" xr3:uid="{5283C18E-9FEF-4BC3-8E30-62997C1C0815}" name="Phone" dataDxfId="35"/>
    <tableColumn id="5" xr3:uid="{A2091387-2B54-4544-8041-12B7EA488A4D}" name="Address" dataDxfId="38"/>
  </tableColumns>
  <tableStyleInfo name="TableStyleMedium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AD50E5-ED0D-49B0-ADBE-BA929F045A30}" name="purchasedata" displayName="purchasedata" ref="D9:J24" totalsRowShown="0" headerRowDxfId="26" dataDxfId="25">
  <autoFilter ref="D9:J24" xr:uid="{0FAD50E5-ED0D-49B0-ADBE-BA929F045A30}"/>
  <tableColumns count="7">
    <tableColumn id="1" xr3:uid="{D5AAA827-AF18-4C50-8399-21C466C41D4B}" name="HSN Code " dataDxfId="24"/>
    <tableColumn id="2" xr3:uid="{90B7C2C1-3047-4F75-8F38-DAD8575A8DCF}" name="Product Name" dataDxfId="23">
      <calculatedColumnFormula>IFERROR(VLOOKUP(purchasedata[[#This Row],[HSN Code ]],ProductsTable[],2,0)," ")</calculatedColumnFormula>
    </tableColumn>
    <tableColumn id="3" xr3:uid="{43230E6D-765A-4165-8A4E-0D7E34BDADD6}" name="Vendor" dataDxfId="22">
      <calculatedColumnFormula>IFERROR(VLOOKUP(purchasedata[[#This Row],[HSN Code ]],vendor_data[],3,0)," ")</calculatedColumnFormula>
    </tableColumn>
    <tableColumn id="4" xr3:uid="{7A9FBACA-ECB1-414A-AA26-4846C6D8050A}" name="Date" dataDxfId="21"/>
    <tableColumn id="5" xr3:uid="{47214D06-4980-424F-B5D4-0AF0A87C7D39}" name="Units" dataDxfId="20"/>
    <tableColumn id="6" xr3:uid="{1E95DD8B-940C-487F-B49D-9FA3B8F4041F}" name="Cost" dataDxfId="19">
      <calculatedColumnFormula>IFERROR(VLOOKUP(purchasedata[[#This Row],[HSN Code ]],ProductsTable[],3,0)," ")</calculatedColumnFormula>
    </tableColumn>
    <tableColumn id="7" xr3:uid="{EE7B0C12-4A87-4FC5-A715-05697FEB586D}" name="Amount" dataDxfId="18">
      <calculatedColumnFormula>IFERROR(purchasedata[[#This Row],[Units]]*purchasedata[[#This Row],[Cost]], "")</calculatedColumnFormula>
    </tableColumn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CE2C45-7FC1-4E68-B125-4AF8CB59D304}" name="Table5" displayName="Table5" ref="D9:L30" totalsRowShown="0" headerRowDxfId="2" dataDxfId="1">
  <autoFilter ref="D9:L30" xr:uid="{4DCE2C45-7FC1-4E68-B125-4AF8CB59D304}"/>
  <tableColumns count="9">
    <tableColumn id="1" xr3:uid="{B31325AC-D501-41AB-89BE-59CFBCC77ED7}" name="CustomerID" dataDxfId="11"/>
    <tableColumn id="2" xr3:uid="{A763113E-1FE1-4D6C-9346-49EE6947D98A}" name="Customer Name" dataDxfId="10">
      <calculatedColumnFormula>IFERROR(VLOOKUP(Table5[[#This Row],[CustomerID]],Customersdata[],2,0)," ")</calculatedColumnFormula>
    </tableColumn>
    <tableColumn id="3" xr3:uid="{F3908793-CD93-4AFF-9152-A951B38CE435}" name="HSN Code " dataDxfId="9"/>
    <tableColumn id="4" xr3:uid="{3DAD8531-A9FF-4CC8-BA69-89BC8D59DC86}" name="Product Name" dataDxfId="8">
      <calculatedColumnFormula>IFERROR(VLOOKUP(Table5[[#This Row],[HSN Code ]],ProductsTable[],2,0),"")</calculatedColumnFormula>
    </tableColumn>
    <tableColumn id="5" xr3:uid="{D58E2960-C194-4868-9A02-0D771AE9BA24}" name="Date" dataDxfId="7"/>
    <tableColumn id="6" xr3:uid="{9911912B-00C2-415E-906B-4947CD4ED296}" name="Stocks(units)" dataDxfId="6">
      <calculatedColumnFormula>IFERROR(VLOOKUP(Table5[[#This Row],[HSN Code ]],INVENTORY[],6,0),"NULL ")</calculatedColumnFormula>
    </tableColumn>
    <tableColumn id="7" xr3:uid="{14A211F6-D3A7-4B02-907D-7E250EBB2FE6}" name="Units" dataDxfId="5"/>
    <tableColumn id="8" xr3:uid="{98419ADE-0F92-4238-85A3-7DC53F7356A3}" name="Price" dataDxfId="4">
      <calculatedColumnFormula>IFERROR(VLOOKUP(Table5[[#This Row],[HSN Code ]],ProductsTable[],4,0)," ")</calculatedColumnFormula>
    </tableColumn>
    <tableColumn id="9" xr3:uid="{EF8C722E-4418-46CA-9B1C-A6295E8BCA26}" name="Amount" dataDxfId="3">
      <calculatedColumnFormula>IFERROR(Table5[[#This Row],[Price]]*Table5[[#This Row],[Units]]," ")</calculatedColumnFormula>
    </tableColumn>
  </tableColumns>
  <tableStyleInfo name="TableStyleMedium24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E333E5-D87A-4B0D-A4B9-1631B82C545B}" name="INVENTORY" displayName="INVENTORY" ref="D9:K20" totalsRowShown="0" headerRowDxfId="27" dataDxfId="28">
  <autoFilter ref="D9:K20" xr:uid="{D5E333E5-D87A-4B0D-A4B9-1631B82C545B}"/>
  <tableColumns count="8">
    <tableColumn id="1" xr3:uid="{5FE22BAA-F54B-4ED2-A97D-1FBE8EBDFE7B}" name="HSN Code" dataDxfId="29"/>
    <tableColumn id="2" xr3:uid="{43F688ED-782C-482C-AF05-5B439008EB8F}" name="Product Name" dataDxfId="17"/>
    <tableColumn id="3" xr3:uid="{26058FF4-A354-4A75-AA8D-14640799EE13}" name="Cost" dataDxfId="16"/>
    <tableColumn id="4" xr3:uid="{D6172C6B-C4C7-4919-947F-D3B414C8A680}" name="P Units" dataDxfId="15">
      <calculatedColumnFormula>SUMIF(purchasedata[Product Name],INVENTORY[[#This Row],[Product Name]],Purchase!H10:H26)</calculatedColumnFormula>
    </tableColumn>
    <tableColumn id="5" xr3:uid="{962AC74D-004F-44B7-8FA9-F501DAD3B642}" name="S Units" dataDxfId="14">
      <calculatedColumnFormula>SUMIF(Sales!G10:G28,INVENTORY[[#This Row],[Product Name]],Sales!J10:J31)</calculatedColumnFormula>
    </tableColumn>
    <tableColumn id="6" xr3:uid="{69884B4A-A313-4835-BF37-77046D8A73FE}" name="Remaining Stock Unit" dataDxfId="13">
      <calculatedColumnFormula>INVENTORY[[#This Row],[P Units]]-INVENTORY[[#This Row],[S Units]]</calculatedColumnFormula>
    </tableColumn>
    <tableColumn id="7" xr3:uid="{BBB9C8D1-362A-4D03-9D73-6ED4CD47AB68}" name="Stock Amt" dataDxfId="12">
      <calculatedColumnFormula>INVENTORY[[#This Row],[Cost]]*INVENTORY[[#This Row],[Remaining Stock Unit]]</calculatedColumnFormula>
    </tableColumn>
    <tableColumn id="8" xr3:uid="{A19BE794-B889-4212-A5AD-4C6864325BD6}" name="Notifications" dataDxfId="0">
      <calculatedColumnFormula>IF(INVENTORY[[#This Row],[Remaining Stock Unit]]&lt;10,"📞 "&amp;INVENTORY[[#Headers],[Product Name]]&amp;" Needs to re-order ! PH "&amp;VLOOKUP(INVENTORY[[#This Row],[HSN Code]],vendor_data[#All],4,0)," ")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09B4-6C23-434A-9526-B0330A097323}">
  <dimension ref="A1:H32"/>
  <sheetViews>
    <sheetView topLeftCell="A6" workbookViewId="0">
      <selection activeCell="B21" sqref="B21"/>
    </sheetView>
  </sheetViews>
  <sheetFormatPr defaultRowHeight="14.4" x14ac:dyDescent="0.3"/>
  <cols>
    <col min="1" max="1" width="22.6640625" bestFit="1" customWidth="1"/>
    <col min="2" max="2" width="25.88671875" bestFit="1" customWidth="1"/>
    <col min="3" max="3" width="14.44140625" bestFit="1" customWidth="1"/>
    <col min="4" max="4" width="15.5546875" bestFit="1" customWidth="1"/>
    <col min="5" max="5" width="16.21875" bestFit="1" customWidth="1"/>
    <col min="6" max="6" width="15.5546875" bestFit="1" customWidth="1"/>
    <col min="7" max="7" width="12.5546875" bestFit="1" customWidth="1"/>
    <col min="8" max="8" width="14.44140625" bestFit="1" customWidth="1"/>
    <col min="9" max="10" width="15.5546875" bestFit="1" customWidth="1"/>
    <col min="12" max="12" width="10.77734375" bestFit="1" customWidth="1"/>
  </cols>
  <sheetData>
    <row r="1" spans="1:8" x14ac:dyDescent="0.3">
      <c r="A1" t="s">
        <v>130</v>
      </c>
      <c r="C1" t="s">
        <v>132</v>
      </c>
      <c r="E1" t="s">
        <v>135</v>
      </c>
      <c r="G1" s="20" t="s">
        <v>128</v>
      </c>
      <c r="H1" t="s">
        <v>138</v>
      </c>
    </row>
    <row r="2" spans="1:8" x14ac:dyDescent="0.3">
      <c r="A2" s="22">
        <v>16</v>
      </c>
      <c r="C2" s="22">
        <v>2757000</v>
      </c>
      <c r="E2" s="22">
        <v>2136000</v>
      </c>
      <c r="G2" s="21" t="s">
        <v>39</v>
      </c>
      <c r="H2" s="22">
        <v>50</v>
      </c>
    </row>
    <row r="3" spans="1:8" x14ac:dyDescent="0.3">
      <c r="C3" t="s">
        <v>133</v>
      </c>
      <c r="E3" t="s">
        <v>136</v>
      </c>
      <c r="G3" s="21" t="s">
        <v>43</v>
      </c>
      <c r="H3" s="22">
        <v>20</v>
      </c>
    </row>
    <row r="4" spans="1:8" x14ac:dyDescent="0.3">
      <c r="A4">
        <f>GETPIVOTDATA("Customer Name",$A$1)</f>
        <v>16</v>
      </c>
      <c r="C4">
        <f>GETPIVOTDATA("Amount",$C$1)</f>
        <v>2757000</v>
      </c>
      <c r="E4">
        <f>GETPIVOTDATA("Stock Amt",$E$1)</f>
        <v>2136000</v>
      </c>
      <c r="G4" s="21" t="s">
        <v>42</v>
      </c>
      <c r="H4" s="22">
        <v>5</v>
      </c>
    </row>
    <row r="5" spans="1:8" x14ac:dyDescent="0.3">
      <c r="A5">
        <f>A4</f>
        <v>16</v>
      </c>
      <c r="C5" s="23">
        <f>C4</f>
        <v>2757000</v>
      </c>
      <c r="E5" s="23">
        <f>E4</f>
        <v>2136000</v>
      </c>
      <c r="G5" s="21" t="s">
        <v>41</v>
      </c>
      <c r="H5" s="22">
        <v>5</v>
      </c>
    </row>
    <row r="6" spans="1:8" x14ac:dyDescent="0.3">
      <c r="G6" s="21" t="s">
        <v>38</v>
      </c>
      <c r="H6" s="22">
        <v>5</v>
      </c>
    </row>
    <row r="7" spans="1:8" x14ac:dyDescent="0.3">
      <c r="G7" s="21" t="s">
        <v>129</v>
      </c>
      <c r="H7" s="22">
        <v>85</v>
      </c>
    </row>
    <row r="8" spans="1:8" x14ac:dyDescent="0.3">
      <c r="A8" t="s">
        <v>131</v>
      </c>
      <c r="C8" t="s">
        <v>132</v>
      </c>
      <c r="E8" t="s">
        <v>137</v>
      </c>
    </row>
    <row r="9" spans="1:8" x14ac:dyDescent="0.3">
      <c r="A9" s="22">
        <v>15</v>
      </c>
      <c r="C9" s="22">
        <v>668000</v>
      </c>
      <c r="E9" s="23">
        <f>E5+C12-C5</f>
        <v>47000</v>
      </c>
    </row>
    <row r="10" spans="1:8" x14ac:dyDescent="0.3">
      <c r="C10" t="s">
        <v>134</v>
      </c>
      <c r="E10" s="23">
        <f>E9</f>
        <v>47000</v>
      </c>
      <c r="G10" s="20" t="s">
        <v>128</v>
      </c>
      <c r="H10" t="s">
        <v>132</v>
      </c>
    </row>
    <row r="11" spans="1:8" x14ac:dyDescent="0.3">
      <c r="A11">
        <f>GETPIVOTDATA("ProductName",$A$8)</f>
        <v>15</v>
      </c>
      <c r="C11">
        <f>GETPIVOTDATA("Amount",$C$8)</f>
        <v>668000</v>
      </c>
      <c r="G11" s="21" t="s">
        <v>26</v>
      </c>
      <c r="H11" s="22">
        <v>198000</v>
      </c>
    </row>
    <row r="12" spans="1:8" x14ac:dyDescent="0.3">
      <c r="A12">
        <f>A11</f>
        <v>15</v>
      </c>
      <c r="C12" s="23">
        <f>C11</f>
        <v>668000</v>
      </c>
      <c r="G12" s="21" t="s">
        <v>6</v>
      </c>
      <c r="H12" s="22">
        <v>130000</v>
      </c>
    </row>
    <row r="13" spans="1:8" x14ac:dyDescent="0.3">
      <c r="G13" s="21" t="s">
        <v>12</v>
      </c>
      <c r="H13" s="22">
        <v>125000</v>
      </c>
    </row>
    <row r="14" spans="1:8" x14ac:dyDescent="0.3">
      <c r="G14" s="21" t="s">
        <v>4</v>
      </c>
      <c r="H14" s="22">
        <v>95000</v>
      </c>
    </row>
    <row r="15" spans="1:8" x14ac:dyDescent="0.3">
      <c r="G15" s="21" t="s">
        <v>18</v>
      </c>
      <c r="H15" s="22">
        <v>92000</v>
      </c>
    </row>
    <row r="16" spans="1:8" x14ac:dyDescent="0.3">
      <c r="G16" s="21" t="s">
        <v>129</v>
      </c>
      <c r="H16" s="22">
        <v>640000</v>
      </c>
    </row>
    <row r="20" spans="1:2" x14ac:dyDescent="0.3">
      <c r="A20" s="20" t="s">
        <v>128</v>
      </c>
      <c r="B20" t="s">
        <v>140</v>
      </c>
    </row>
    <row r="21" spans="1:2" x14ac:dyDescent="0.3">
      <c r="A21" s="21" t="s">
        <v>47</v>
      </c>
      <c r="B21" s="22"/>
    </row>
    <row r="22" spans="1:2" x14ac:dyDescent="0.3">
      <c r="A22" s="21" t="s">
        <v>39</v>
      </c>
      <c r="B22" s="22">
        <v>50</v>
      </c>
    </row>
    <row r="23" spans="1:2" x14ac:dyDescent="0.3">
      <c r="A23" s="21" t="s">
        <v>37</v>
      </c>
      <c r="B23" s="22">
        <v>23</v>
      </c>
    </row>
    <row r="24" spans="1:2" x14ac:dyDescent="0.3">
      <c r="A24" s="21" t="s">
        <v>40</v>
      </c>
      <c r="B24" s="22">
        <v>10</v>
      </c>
    </row>
    <row r="25" spans="1:2" x14ac:dyDescent="0.3">
      <c r="A25" s="21" t="s">
        <v>38</v>
      </c>
      <c r="B25" s="22">
        <v>5</v>
      </c>
    </row>
    <row r="26" spans="1:2" x14ac:dyDescent="0.3">
      <c r="A26" s="21" t="s">
        <v>43</v>
      </c>
      <c r="B26" s="22">
        <v>10</v>
      </c>
    </row>
    <row r="27" spans="1:2" x14ac:dyDescent="0.3">
      <c r="A27" s="21" t="s">
        <v>45</v>
      </c>
      <c r="B27" s="22"/>
    </row>
    <row r="28" spans="1:2" x14ac:dyDescent="0.3">
      <c r="A28" s="21" t="s">
        <v>44</v>
      </c>
      <c r="B28" s="22"/>
    </row>
    <row r="29" spans="1:2" x14ac:dyDescent="0.3">
      <c r="A29" s="21" t="s">
        <v>41</v>
      </c>
      <c r="B29" s="22">
        <v>25</v>
      </c>
    </row>
    <row r="30" spans="1:2" x14ac:dyDescent="0.3">
      <c r="A30" s="21" t="s">
        <v>42</v>
      </c>
      <c r="B30" s="22">
        <v>5</v>
      </c>
    </row>
    <row r="31" spans="1:2" x14ac:dyDescent="0.3">
      <c r="A31" s="21" t="s">
        <v>46</v>
      </c>
      <c r="B31" s="22"/>
    </row>
    <row r="32" spans="1:2" x14ac:dyDescent="0.3">
      <c r="A32" s="21" t="s">
        <v>129</v>
      </c>
      <c r="B32" s="22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52"/>
  <sheetViews>
    <sheetView showGridLines="0" tabSelected="1" zoomScale="70" zoomScaleNormal="70" workbookViewId="0">
      <selection activeCell="AC29" sqref="AC29"/>
    </sheetView>
  </sheetViews>
  <sheetFormatPr defaultRowHeight="14.4" x14ac:dyDescent="0.3"/>
  <cols>
    <col min="1" max="1" width="4.109375" style="2" customWidth="1"/>
    <col min="2" max="2" width="26.44140625" style="4" customWidth="1"/>
    <col min="3" max="3" width="7.77734375" style="2" customWidth="1"/>
    <col min="4" max="4" width="8.88671875" style="2"/>
    <col min="5" max="5" width="8.88671875" style="2" customWidth="1"/>
    <col min="6" max="16384" width="8.88671875" style="2"/>
  </cols>
  <sheetData>
    <row r="1" spans="2:26" x14ac:dyDescent="0.3">
      <c r="B1" s="3"/>
    </row>
    <row r="2" spans="2:26" x14ac:dyDescent="0.3">
      <c r="B2" s="3"/>
    </row>
    <row r="15" spans="2:26" x14ac:dyDescent="0.3">
      <c r="T15" s="27"/>
      <c r="U15" s="27"/>
      <c r="V15" s="27"/>
      <c r="W15" s="27"/>
      <c r="X15" s="27"/>
      <c r="Y15" s="27"/>
      <c r="Z15" s="27"/>
    </row>
    <row r="16" spans="2:26" x14ac:dyDescent="0.3">
      <c r="T16" s="27"/>
      <c r="U16" s="27"/>
      <c r="V16" s="27"/>
      <c r="W16" s="27"/>
      <c r="X16" s="27"/>
      <c r="Y16" s="27"/>
      <c r="Z16" s="27"/>
    </row>
    <row r="17" spans="20:26" ht="18" x14ac:dyDescent="0.35">
      <c r="T17" s="28" t="str" cm="1">
        <f t="array" ref="T17:T23">_xlfn._xlws.FILTER(Inventory!K10:K16,Inventory!K10:K16&lt;&gt;"")</f>
        <v xml:space="preserve"> </v>
      </c>
      <c r="U17" s="1"/>
      <c r="V17" s="1"/>
      <c r="W17" s="1"/>
      <c r="X17" s="1"/>
      <c r="Y17" s="1"/>
      <c r="Z17" s="1"/>
    </row>
    <row r="18" spans="20:26" ht="18" x14ac:dyDescent="0.35">
      <c r="T18" s="28" t="str">
        <v>📞 Mouse Needs to re-order ! PH 342535XXXX</v>
      </c>
      <c r="U18" s="1"/>
      <c r="V18" s="1"/>
      <c r="W18" s="1"/>
      <c r="X18" s="1"/>
      <c r="Y18" s="1"/>
      <c r="Z18" s="1"/>
    </row>
    <row r="19" spans="20:26" ht="18" x14ac:dyDescent="0.35">
      <c r="T19" s="28" t="str">
        <v xml:space="preserve"> </v>
      </c>
      <c r="U19" s="1"/>
      <c r="V19" s="1"/>
      <c r="W19" s="1"/>
      <c r="X19" s="1"/>
      <c r="Y19" s="1"/>
      <c r="Z19" s="1"/>
    </row>
    <row r="20" spans="20:26" ht="18" x14ac:dyDescent="0.35">
      <c r="T20" s="28" t="str">
        <v xml:space="preserve"> </v>
      </c>
      <c r="U20" s="1"/>
      <c r="V20" s="1"/>
      <c r="W20" s="1"/>
      <c r="X20" s="1"/>
      <c r="Y20" s="1"/>
      <c r="Z20" s="1"/>
    </row>
    <row r="21" spans="20:26" ht="18" x14ac:dyDescent="0.35">
      <c r="T21" s="28" t="str">
        <v xml:space="preserve"> </v>
      </c>
      <c r="U21" s="1"/>
      <c r="V21" s="1"/>
      <c r="W21" s="1"/>
      <c r="X21" s="1"/>
      <c r="Y21" s="1"/>
      <c r="Z21" s="1"/>
    </row>
    <row r="22" spans="20:26" ht="18" x14ac:dyDescent="0.35">
      <c r="T22" s="28" t="str">
        <v>📞 Tablet Needs to re-order ! PH 85684XXXXX</v>
      </c>
      <c r="U22" s="1"/>
      <c r="V22" s="1"/>
      <c r="W22" s="1"/>
      <c r="X22" s="1"/>
      <c r="Y22" s="1"/>
      <c r="Z22" s="1"/>
    </row>
    <row r="23" spans="20:26" ht="18" x14ac:dyDescent="0.35">
      <c r="T23" s="28" t="str">
        <v xml:space="preserve"> </v>
      </c>
      <c r="U23" s="1"/>
      <c r="V23" s="1"/>
      <c r="W23" s="1"/>
      <c r="X23" s="1"/>
      <c r="Y23" s="1"/>
      <c r="Z23" s="1"/>
    </row>
    <row r="24" spans="20:26" ht="18" x14ac:dyDescent="0.35">
      <c r="T24" s="28"/>
      <c r="U24" s="1"/>
      <c r="V24" s="1"/>
      <c r="W24" s="1"/>
      <c r="X24" s="1"/>
      <c r="Y24" s="1"/>
      <c r="Z24" s="1"/>
    </row>
    <row r="25" spans="20:26" ht="18" x14ac:dyDescent="0.35">
      <c r="T25" s="28"/>
      <c r="U25" s="1"/>
      <c r="V25" s="1"/>
      <c r="W25" s="1"/>
      <c r="X25" s="1"/>
      <c r="Y25" s="1"/>
      <c r="Z25" s="1"/>
    </row>
    <row r="26" spans="20:26" ht="18" x14ac:dyDescent="0.35">
      <c r="T26" s="28"/>
      <c r="U26" s="1"/>
      <c r="V26" s="1"/>
      <c r="W26" s="1"/>
      <c r="X26" s="1"/>
      <c r="Y26" s="1"/>
      <c r="Z26" s="1"/>
    </row>
    <row r="27" spans="20:26" ht="18" x14ac:dyDescent="0.35">
      <c r="T27" s="28"/>
      <c r="U27" s="1"/>
      <c r="V27" s="1"/>
      <c r="W27" s="1"/>
      <c r="X27" s="1"/>
      <c r="Y27" s="1"/>
      <c r="Z27" s="1"/>
    </row>
    <row r="28" spans="20:26" ht="18" x14ac:dyDescent="0.35">
      <c r="T28" s="28"/>
      <c r="U28" s="1"/>
      <c r="V28" s="1"/>
      <c r="W28" s="1"/>
      <c r="X28" s="1"/>
      <c r="Y28" s="1"/>
      <c r="Z28" s="1"/>
    </row>
    <row r="29" spans="20:26" ht="18" x14ac:dyDescent="0.35">
      <c r="T29" s="28"/>
      <c r="U29" s="1"/>
      <c r="V29" s="1"/>
      <c r="W29" s="1"/>
      <c r="X29" s="1"/>
      <c r="Y29" s="1"/>
      <c r="Z29" s="1"/>
    </row>
    <row r="30" spans="20:26" ht="18" x14ac:dyDescent="0.35">
      <c r="T30" s="28"/>
      <c r="U30" s="1"/>
      <c r="V30" s="1"/>
      <c r="W30" s="1"/>
      <c r="X30" s="1"/>
      <c r="Y30" s="1"/>
      <c r="Z30" s="1"/>
    </row>
    <row r="31" spans="20:26" ht="18" x14ac:dyDescent="0.35">
      <c r="T31" s="28"/>
      <c r="U31" s="1"/>
      <c r="V31" s="1"/>
      <c r="W31" s="1"/>
      <c r="X31" s="1"/>
      <c r="Y31" s="1"/>
      <c r="Z31" s="1"/>
    </row>
    <row r="32" spans="20:26" ht="18" x14ac:dyDescent="0.35">
      <c r="T32" s="28"/>
      <c r="U32" s="1"/>
      <c r="V32" s="1"/>
      <c r="W32" s="1"/>
      <c r="X32" s="1"/>
      <c r="Y32" s="1"/>
      <c r="Z32" s="1"/>
    </row>
    <row r="33" spans="20:26" ht="18" x14ac:dyDescent="0.35">
      <c r="T33" s="28"/>
      <c r="U33" s="1"/>
      <c r="V33" s="1"/>
      <c r="W33" s="1"/>
      <c r="X33" s="1"/>
      <c r="Y33" s="1"/>
      <c r="Z33" s="1"/>
    </row>
    <row r="34" spans="20:26" ht="18" x14ac:dyDescent="0.35">
      <c r="T34" s="28"/>
      <c r="U34" s="1"/>
      <c r="V34" s="1"/>
      <c r="W34" s="1"/>
      <c r="X34" s="1"/>
      <c r="Y34" s="1"/>
      <c r="Z34" s="1"/>
    </row>
    <row r="35" spans="20:26" x14ac:dyDescent="0.3">
      <c r="T35" s="1"/>
      <c r="U35" s="1"/>
      <c r="V35" s="1"/>
      <c r="W35" s="1"/>
      <c r="X35" s="1"/>
      <c r="Y35" s="1"/>
      <c r="Z35" s="1"/>
    </row>
    <row r="36" spans="20:26" x14ac:dyDescent="0.3">
      <c r="T36" s="1"/>
      <c r="U36" s="1"/>
      <c r="V36" s="1"/>
      <c r="W36" s="1"/>
      <c r="X36" s="1"/>
      <c r="Y36" s="1"/>
      <c r="Z36" s="1"/>
    </row>
    <row r="37" spans="20:26" x14ac:dyDescent="0.3">
      <c r="T37" s="1"/>
      <c r="U37" s="1"/>
      <c r="V37" s="1"/>
      <c r="W37" s="1"/>
      <c r="X37" s="1"/>
      <c r="Y37" s="1"/>
      <c r="Z37" s="1"/>
    </row>
    <row r="38" spans="20:26" x14ac:dyDescent="0.3">
      <c r="T38" s="1"/>
      <c r="U38" s="1"/>
      <c r="V38" s="1"/>
      <c r="W38" s="1"/>
      <c r="X38" s="1"/>
      <c r="Y38" s="1"/>
      <c r="Z38" s="1"/>
    </row>
    <row r="39" spans="20:26" x14ac:dyDescent="0.3">
      <c r="T39" s="1"/>
      <c r="U39" s="1"/>
      <c r="V39" s="1"/>
      <c r="W39" s="1"/>
      <c r="X39" s="1"/>
      <c r="Y39" s="1"/>
      <c r="Z39" s="1"/>
    </row>
    <row r="40" spans="20:26" x14ac:dyDescent="0.3">
      <c r="T40" s="1"/>
      <c r="U40" s="1"/>
      <c r="V40" s="1"/>
      <c r="W40" s="1"/>
      <c r="X40" s="1"/>
      <c r="Y40" s="1"/>
      <c r="Z40" s="1"/>
    </row>
    <row r="41" spans="20:26" x14ac:dyDescent="0.3">
      <c r="T41" s="1"/>
      <c r="U41" s="1"/>
      <c r="V41" s="1"/>
      <c r="W41" s="1"/>
      <c r="X41" s="1"/>
      <c r="Y41" s="1"/>
      <c r="Z41" s="1"/>
    </row>
    <row r="42" spans="20:26" x14ac:dyDescent="0.3">
      <c r="T42" s="1"/>
      <c r="U42" s="1"/>
      <c r="V42" s="1"/>
      <c r="W42" s="1"/>
      <c r="X42" s="1"/>
      <c r="Y42" s="1"/>
      <c r="Z42" s="1"/>
    </row>
    <row r="43" spans="20:26" x14ac:dyDescent="0.3">
      <c r="T43" s="1"/>
      <c r="U43" s="1"/>
      <c r="V43" s="1"/>
      <c r="W43" s="1"/>
      <c r="X43" s="1"/>
      <c r="Y43" s="1"/>
      <c r="Z43" s="1"/>
    </row>
    <row r="44" spans="20:26" x14ac:dyDescent="0.3">
      <c r="T44" s="1"/>
      <c r="U44" s="1"/>
      <c r="V44" s="1"/>
      <c r="W44" s="1"/>
      <c r="X44" s="1"/>
      <c r="Y44" s="1"/>
      <c r="Z44" s="1"/>
    </row>
    <row r="45" spans="20:26" x14ac:dyDescent="0.3">
      <c r="T45" s="1"/>
      <c r="U45" s="1"/>
      <c r="V45" s="1"/>
      <c r="W45" s="1"/>
      <c r="X45" s="1"/>
      <c r="Y45" s="1"/>
      <c r="Z45" s="1"/>
    </row>
    <row r="46" spans="20:26" x14ac:dyDescent="0.3">
      <c r="T46" s="1"/>
      <c r="U46" s="1"/>
      <c r="V46" s="1"/>
      <c r="W46" s="1"/>
      <c r="X46" s="1"/>
      <c r="Y46" s="1"/>
      <c r="Z46" s="1"/>
    </row>
    <row r="47" spans="20:26" x14ac:dyDescent="0.3">
      <c r="T47" s="1"/>
      <c r="U47" s="1"/>
      <c r="V47" s="1"/>
      <c r="W47" s="1"/>
      <c r="X47" s="1"/>
      <c r="Y47" s="1"/>
      <c r="Z47" s="1"/>
    </row>
    <row r="48" spans="20:26" x14ac:dyDescent="0.3">
      <c r="T48" s="1"/>
      <c r="U48" s="1"/>
      <c r="V48" s="1"/>
      <c r="W48" s="1"/>
      <c r="X48" s="1"/>
      <c r="Y48" s="1"/>
      <c r="Z48" s="1"/>
    </row>
    <row r="49" spans="20:26" x14ac:dyDescent="0.3">
      <c r="T49" s="1"/>
      <c r="U49" s="1"/>
      <c r="V49" s="1"/>
      <c r="W49" s="1"/>
      <c r="X49" s="1"/>
      <c r="Y49" s="1"/>
      <c r="Z49" s="1"/>
    </row>
    <row r="50" spans="20:26" x14ac:dyDescent="0.3">
      <c r="T50" s="1"/>
      <c r="U50" s="1"/>
      <c r="V50" s="1"/>
      <c r="W50" s="1"/>
      <c r="X50" s="1"/>
      <c r="Y50" s="1"/>
      <c r="Z50" s="1"/>
    </row>
    <row r="51" spans="20:26" x14ac:dyDescent="0.3">
      <c r="T51" s="1"/>
      <c r="U51" s="1"/>
      <c r="V51" s="1"/>
      <c r="W51" s="1"/>
      <c r="X51" s="1"/>
      <c r="Y51" s="1"/>
      <c r="Z51" s="1"/>
    </row>
    <row r="52" spans="20:26" x14ac:dyDescent="0.3">
      <c r="T52" s="1"/>
      <c r="U52" s="1"/>
      <c r="V52" s="1"/>
      <c r="W52" s="1"/>
      <c r="X52" s="1"/>
      <c r="Y52" s="1"/>
      <c r="Z52" s="1"/>
    </row>
  </sheetData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3"/>
  <sheetViews>
    <sheetView showGridLines="0" workbookViewId="0">
      <selection activeCell="E23" sqref="E23"/>
    </sheetView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3.109375" style="2" bestFit="1" customWidth="1"/>
    <col min="5" max="5" width="16.44140625" style="2" bestFit="1" customWidth="1"/>
    <col min="6" max="6" width="30.21875" style="2" bestFit="1" customWidth="1"/>
    <col min="7" max="7" width="21.6640625" style="2" bestFit="1" customWidth="1"/>
    <col min="8" max="16384" width="8.88671875" style="2"/>
  </cols>
  <sheetData>
    <row r="1" spans="2:7" x14ac:dyDescent="0.3">
      <c r="B1" s="3"/>
    </row>
    <row r="2" spans="2:7" x14ac:dyDescent="0.3">
      <c r="B2" s="3"/>
    </row>
    <row r="7" spans="2:7" x14ac:dyDescent="0.3">
      <c r="D7" s="5" t="s">
        <v>0</v>
      </c>
      <c r="E7" s="5" t="s">
        <v>56</v>
      </c>
      <c r="F7" s="5" t="s">
        <v>54</v>
      </c>
      <c r="G7" s="5" t="s">
        <v>55</v>
      </c>
    </row>
    <row r="8" spans="2:7" x14ac:dyDescent="0.3">
      <c r="D8" s="2" t="s">
        <v>1</v>
      </c>
      <c r="E8" s="2" t="s">
        <v>2</v>
      </c>
      <c r="F8" s="2" t="s">
        <v>57</v>
      </c>
      <c r="G8" s="2" t="s">
        <v>76</v>
      </c>
    </row>
    <row r="9" spans="2:7" x14ac:dyDescent="0.3">
      <c r="D9" s="2" t="s">
        <v>3</v>
      </c>
      <c r="E9" s="2" t="s">
        <v>4</v>
      </c>
      <c r="F9" s="2" t="s">
        <v>58</v>
      </c>
      <c r="G9" s="2" t="s">
        <v>75</v>
      </c>
    </row>
    <row r="10" spans="2:7" x14ac:dyDescent="0.3">
      <c r="D10" s="2" t="s">
        <v>5</v>
      </c>
      <c r="E10" s="2" t="s">
        <v>6</v>
      </c>
      <c r="F10" s="2" t="s">
        <v>59</v>
      </c>
      <c r="G10" s="2" t="s">
        <v>74</v>
      </c>
    </row>
    <row r="11" spans="2:7" x14ac:dyDescent="0.3">
      <c r="D11" s="2" t="s">
        <v>7</v>
      </c>
      <c r="E11" s="2" t="s">
        <v>8</v>
      </c>
      <c r="F11" s="2" t="s">
        <v>60</v>
      </c>
      <c r="G11" s="2" t="s">
        <v>72</v>
      </c>
    </row>
    <row r="12" spans="2:7" x14ac:dyDescent="0.3">
      <c r="D12" s="2" t="s">
        <v>9</v>
      </c>
      <c r="E12" s="2" t="s">
        <v>10</v>
      </c>
      <c r="F12" s="2" t="s">
        <v>61</v>
      </c>
      <c r="G12" s="2" t="s">
        <v>73</v>
      </c>
    </row>
    <row r="13" spans="2:7" x14ac:dyDescent="0.3">
      <c r="D13" s="2" t="s">
        <v>11</v>
      </c>
      <c r="E13" s="2" t="s">
        <v>12</v>
      </c>
      <c r="F13" s="2" t="s">
        <v>62</v>
      </c>
      <c r="G13" s="2" t="s">
        <v>77</v>
      </c>
    </row>
    <row r="14" spans="2:7" x14ac:dyDescent="0.3">
      <c r="D14" s="2" t="s">
        <v>13</v>
      </c>
      <c r="E14" s="2" t="s">
        <v>14</v>
      </c>
      <c r="F14" s="2" t="s">
        <v>63</v>
      </c>
      <c r="G14" s="2" t="s">
        <v>78</v>
      </c>
    </row>
    <row r="15" spans="2:7" x14ac:dyDescent="0.3">
      <c r="D15" s="2" t="s">
        <v>15</v>
      </c>
      <c r="E15" s="2" t="s">
        <v>16</v>
      </c>
      <c r="F15" s="2" t="s">
        <v>64</v>
      </c>
      <c r="G15" s="2" t="s">
        <v>79</v>
      </c>
    </row>
    <row r="16" spans="2:7" x14ac:dyDescent="0.3">
      <c r="D16" s="2" t="s">
        <v>17</v>
      </c>
      <c r="E16" s="2" t="s">
        <v>18</v>
      </c>
      <c r="F16" s="2" t="s">
        <v>65</v>
      </c>
      <c r="G16" s="2" t="s">
        <v>80</v>
      </c>
    </row>
    <row r="17" spans="4:7" x14ac:dyDescent="0.3">
      <c r="D17" s="2" t="s">
        <v>19</v>
      </c>
      <c r="E17" s="2" t="s">
        <v>20</v>
      </c>
      <c r="F17" s="2" t="s">
        <v>66</v>
      </c>
      <c r="G17" s="2" t="s">
        <v>81</v>
      </c>
    </row>
    <row r="18" spans="4:7" x14ac:dyDescent="0.3">
      <c r="D18" s="2" t="s">
        <v>21</v>
      </c>
      <c r="E18" s="2" t="s">
        <v>22</v>
      </c>
      <c r="F18" s="2" t="s">
        <v>67</v>
      </c>
      <c r="G18" s="2" t="s">
        <v>82</v>
      </c>
    </row>
    <row r="19" spans="4:7" x14ac:dyDescent="0.3">
      <c r="D19" s="2" t="s">
        <v>23</v>
      </c>
      <c r="E19" s="2" t="s">
        <v>24</v>
      </c>
      <c r="F19" s="2" t="s">
        <v>68</v>
      </c>
      <c r="G19" s="2" t="s">
        <v>83</v>
      </c>
    </row>
    <row r="20" spans="4:7" x14ac:dyDescent="0.3">
      <c r="D20" s="2" t="s">
        <v>25</v>
      </c>
      <c r="E20" s="2" t="s">
        <v>26</v>
      </c>
      <c r="F20" s="2" t="s">
        <v>69</v>
      </c>
      <c r="G20" s="2" t="s">
        <v>84</v>
      </c>
    </row>
    <row r="21" spans="4:7" x14ac:dyDescent="0.3">
      <c r="D21" s="2" t="s">
        <v>27</v>
      </c>
      <c r="E21" s="2" t="s">
        <v>28</v>
      </c>
      <c r="F21" s="2" t="s">
        <v>70</v>
      </c>
      <c r="G21" s="2" t="s">
        <v>85</v>
      </c>
    </row>
    <row r="22" spans="4:7" x14ac:dyDescent="0.3">
      <c r="D22" s="2" t="s">
        <v>29</v>
      </c>
      <c r="E22" s="2" t="s">
        <v>30</v>
      </c>
      <c r="F22" s="2" t="s">
        <v>71</v>
      </c>
      <c r="G22" s="2" t="s">
        <v>86</v>
      </c>
    </row>
    <row r="23" spans="4:7" x14ac:dyDescent="0.3">
      <c r="D23" s="2" t="s">
        <v>141</v>
      </c>
      <c r="E23" s="2" t="s">
        <v>142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3"/>
  <sheetViews>
    <sheetView showGridLines="0" workbookViewId="0"/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1.6640625" style="2" bestFit="1" customWidth="1"/>
    <col min="5" max="5" width="14.88671875" style="2" bestFit="1" customWidth="1"/>
    <col min="6" max="6" width="13.109375" style="6" bestFit="1" customWidth="1"/>
    <col min="7" max="7" width="14.21875" style="2" bestFit="1" customWidth="1"/>
    <col min="8" max="16384" width="8.88671875" style="2"/>
  </cols>
  <sheetData>
    <row r="1" spans="2:7" x14ac:dyDescent="0.3">
      <c r="B1" s="3"/>
    </row>
    <row r="2" spans="2:7" x14ac:dyDescent="0.3">
      <c r="B2" s="3"/>
    </row>
    <row r="8" spans="2:7" x14ac:dyDescent="0.3">
      <c r="C8" s="3"/>
      <c r="D8" s="14" t="s">
        <v>88</v>
      </c>
      <c r="E8" s="14" t="s">
        <v>35</v>
      </c>
      <c r="F8" s="15" t="s">
        <v>36</v>
      </c>
      <c r="G8" s="14" t="s">
        <v>87</v>
      </c>
    </row>
    <row r="9" spans="2:7" x14ac:dyDescent="0.3">
      <c r="C9" s="3"/>
      <c r="D9" s="3" t="s">
        <v>89</v>
      </c>
      <c r="E9" s="3" t="s">
        <v>37</v>
      </c>
      <c r="F9" s="16">
        <v>45000</v>
      </c>
      <c r="G9" s="3">
        <f>ProductsTable[[#This Row],[UnitPrice]]+1000</f>
        <v>46000</v>
      </c>
    </row>
    <row r="10" spans="2:7" x14ac:dyDescent="0.3">
      <c r="C10" s="3"/>
      <c r="D10" s="3" t="s">
        <v>90</v>
      </c>
      <c r="E10" s="3" t="s">
        <v>38</v>
      </c>
      <c r="F10" s="16">
        <v>200</v>
      </c>
      <c r="G10" s="3">
        <f>ProductsTable[[#This Row],[UnitPrice]]+1000</f>
        <v>1200</v>
      </c>
    </row>
    <row r="11" spans="2:7" x14ac:dyDescent="0.3">
      <c r="C11" s="3"/>
      <c r="D11" s="3" t="s">
        <v>91</v>
      </c>
      <c r="E11" s="3" t="s">
        <v>39</v>
      </c>
      <c r="F11" s="16">
        <v>1500</v>
      </c>
      <c r="G11" s="3">
        <f>ProductsTable[[#This Row],[UnitPrice]]+1000</f>
        <v>2500</v>
      </c>
    </row>
    <row r="12" spans="2:7" x14ac:dyDescent="0.3">
      <c r="C12" s="3"/>
      <c r="D12" s="3" t="s">
        <v>92</v>
      </c>
      <c r="E12" s="3" t="s">
        <v>40</v>
      </c>
      <c r="F12" s="16">
        <v>21000</v>
      </c>
      <c r="G12" s="3">
        <f>ProductsTable[[#This Row],[UnitPrice]]+1000</f>
        <v>22000</v>
      </c>
    </row>
    <row r="13" spans="2:7" x14ac:dyDescent="0.3">
      <c r="C13" s="3"/>
      <c r="D13" s="3" t="s">
        <v>93</v>
      </c>
      <c r="E13" s="3" t="s">
        <v>41</v>
      </c>
      <c r="F13" s="16">
        <v>25000</v>
      </c>
      <c r="G13" s="3">
        <f>ProductsTable[[#This Row],[UnitPrice]]+1000</f>
        <v>26000</v>
      </c>
    </row>
    <row r="14" spans="2:7" x14ac:dyDescent="0.3">
      <c r="C14" s="3"/>
      <c r="D14" s="3" t="s">
        <v>94</v>
      </c>
      <c r="E14" s="3" t="s">
        <v>42</v>
      </c>
      <c r="F14" s="16">
        <v>18000</v>
      </c>
      <c r="G14" s="3">
        <f>ProductsTable[[#This Row],[UnitPrice]]+1000</f>
        <v>19000</v>
      </c>
    </row>
    <row r="15" spans="2:7" x14ac:dyDescent="0.3">
      <c r="C15" s="3"/>
      <c r="D15" s="3" t="s">
        <v>95</v>
      </c>
      <c r="E15" s="3" t="s">
        <v>43</v>
      </c>
      <c r="F15" s="16">
        <v>10000</v>
      </c>
      <c r="G15" s="3">
        <f>ProductsTable[[#This Row],[UnitPrice]]+1000</f>
        <v>11000</v>
      </c>
    </row>
    <row r="16" spans="2:7" x14ac:dyDescent="0.3">
      <c r="C16" s="3"/>
      <c r="D16" s="3" t="s">
        <v>96</v>
      </c>
      <c r="E16" s="3" t="s">
        <v>44</v>
      </c>
      <c r="F16" s="16">
        <v>4000</v>
      </c>
      <c r="G16" s="3">
        <f>ProductsTable[[#This Row],[UnitPrice]]+1000</f>
        <v>5000</v>
      </c>
    </row>
    <row r="17" spans="3:7" x14ac:dyDescent="0.3">
      <c r="C17" s="3"/>
      <c r="D17" s="3" t="s">
        <v>97</v>
      </c>
      <c r="E17" s="3" t="s">
        <v>45</v>
      </c>
      <c r="F17" s="16">
        <v>2000</v>
      </c>
      <c r="G17" s="3">
        <f>ProductsTable[[#This Row],[UnitPrice]]+1000</f>
        <v>3000</v>
      </c>
    </row>
    <row r="18" spans="3:7" x14ac:dyDescent="0.3">
      <c r="C18" s="3"/>
      <c r="D18" s="3" t="s">
        <v>98</v>
      </c>
      <c r="E18" s="3" t="s">
        <v>46</v>
      </c>
      <c r="F18" s="16">
        <v>1500</v>
      </c>
      <c r="G18" s="3">
        <f>ProductsTable[[#This Row],[UnitPrice]]+1000</f>
        <v>2500</v>
      </c>
    </row>
    <row r="19" spans="3:7" x14ac:dyDescent="0.3">
      <c r="C19" s="3"/>
      <c r="D19" s="3" t="s">
        <v>99</v>
      </c>
      <c r="E19" s="3" t="s">
        <v>47</v>
      </c>
      <c r="F19" s="16">
        <v>3000</v>
      </c>
      <c r="G19" s="3">
        <f>ProductsTable[[#This Row],[UnitPrice]]+1000</f>
        <v>4000</v>
      </c>
    </row>
    <row r="20" spans="3:7" x14ac:dyDescent="0.3">
      <c r="C20" s="3"/>
      <c r="D20" s="3" t="s">
        <v>100</v>
      </c>
      <c r="E20" s="3" t="s">
        <v>48</v>
      </c>
      <c r="F20" s="16">
        <v>1000</v>
      </c>
      <c r="G20" s="3">
        <f>ProductsTable[[#This Row],[UnitPrice]]+1000</f>
        <v>2000</v>
      </c>
    </row>
    <row r="21" spans="3:7" x14ac:dyDescent="0.3">
      <c r="C21" s="3"/>
      <c r="D21" s="3" t="s">
        <v>101</v>
      </c>
      <c r="E21" s="3" t="s">
        <v>49</v>
      </c>
      <c r="F21" s="16">
        <v>2500</v>
      </c>
      <c r="G21" s="3">
        <f>ProductsTable[[#This Row],[UnitPrice]]+1000</f>
        <v>3500</v>
      </c>
    </row>
    <row r="22" spans="3:7" x14ac:dyDescent="0.3">
      <c r="C22" s="3"/>
      <c r="D22" s="3" t="s">
        <v>102</v>
      </c>
      <c r="E22" s="3" t="s">
        <v>50</v>
      </c>
      <c r="F22" s="16">
        <v>6000</v>
      </c>
      <c r="G22" s="3">
        <f>ProductsTable[[#This Row],[UnitPrice]]+1000</f>
        <v>7000</v>
      </c>
    </row>
    <row r="23" spans="3:7" x14ac:dyDescent="0.3">
      <c r="C23" s="3"/>
      <c r="D23" s="3" t="s">
        <v>103</v>
      </c>
      <c r="E23" s="3" t="s">
        <v>51</v>
      </c>
      <c r="F23" s="16">
        <v>500</v>
      </c>
      <c r="G23" s="3">
        <f>ProductsTable[[#This Row],[UnitPrice]]+1000</f>
        <v>1500</v>
      </c>
    </row>
  </sheetData>
  <phoneticPr fontId="5" type="noConversion"/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3"/>
  <sheetViews>
    <sheetView showGridLines="0" workbookViewId="0"/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1.21875" style="2" customWidth="1"/>
    <col min="5" max="6" width="15" style="2" customWidth="1"/>
    <col min="7" max="7" width="11" style="2" bestFit="1" customWidth="1"/>
    <col min="8" max="8" width="9.5546875" style="2" customWidth="1"/>
    <col min="9" max="16384" width="8.88671875" style="2"/>
  </cols>
  <sheetData>
    <row r="1" spans="2:8" x14ac:dyDescent="0.3">
      <c r="B1" s="3"/>
    </row>
    <row r="2" spans="2:8" x14ac:dyDescent="0.3">
      <c r="B2" s="3"/>
    </row>
    <row r="8" spans="2:8" x14ac:dyDescent="0.3">
      <c r="D8" s="11" t="s">
        <v>88</v>
      </c>
      <c r="E8" s="8" t="s">
        <v>104</v>
      </c>
      <c r="F8" s="8" t="s">
        <v>105</v>
      </c>
      <c r="G8" s="8" t="s">
        <v>106</v>
      </c>
      <c r="H8" s="8" t="s">
        <v>55</v>
      </c>
    </row>
    <row r="9" spans="2:8" x14ac:dyDescent="0.3">
      <c r="D9" s="12" t="s">
        <v>89</v>
      </c>
      <c r="E9" s="9" t="s">
        <v>37</v>
      </c>
      <c r="F9" s="13" t="s">
        <v>31</v>
      </c>
      <c r="G9" s="2" t="s">
        <v>107</v>
      </c>
      <c r="H9" s="2" t="s">
        <v>111</v>
      </c>
    </row>
    <row r="10" spans="2:8" x14ac:dyDescent="0.3">
      <c r="D10" s="12" t="s">
        <v>90</v>
      </c>
      <c r="E10" s="9" t="s">
        <v>38</v>
      </c>
      <c r="F10" s="3" t="s">
        <v>32</v>
      </c>
      <c r="G10" s="2" t="s">
        <v>108</v>
      </c>
      <c r="H10" s="2" t="s">
        <v>112</v>
      </c>
    </row>
    <row r="11" spans="2:8" x14ac:dyDescent="0.3">
      <c r="D11" s="12" t="s">
        <v>91</v>
      </c>
      <c r="E11" s="9" t="s">
        <v>39</v>
      </c>
      <c r="F11" s="13" t="s">
        <v>33</v>
      </c>
      <c r="G11" s="2" t="s">
        <v>109</v>
      </c>
      <c r="H11" s="2" t="s">
        <v>113</v>
      </c>
    </row>
    <row r="12" spans="2:8" x14ac:dyDescent="0.3">
      <c r="D12" s="12" t="s">
        <v>92</v>
      </c>
      <c r="E12" s="9" t="s">
        <v>40</v>
      </c>
      <c r="F12" s="3" t="s">
        <v>34</v>
      </c>
      <c r="G12" s="2" t="s">
        <v>110</v>
      </c>
      <c r="H12" s="2" t="s">
        <v>114</v>
      </c>
    </row>
    <row r="13" spans="2:8" x14ac:dyDescent="0.3">
      <c r="D13" s="12" t="s">
        <v>93</v>
      </c>
      <c r="E13" s="9" t="s">
        <v>41</v>
      </c>
      <c r="F13" s="13" t="s">
        <v>33</v>
      </c>
      <c r="G13" s="2" t="s">
        <v>109</v>
      </c>
      <c r="H13" s="2" t="s">
        <v>113</v>
      </c>
    </row>
    <row r="14" spans="2:8" x14ac:dyDescent="0.3">
      <c r="D14" s="12" t="s">
        <v>94</v>
      </c>
      <c r="E14" s="9" t="s">
        <v>42</v>
      </c>
      <c r="F14" s="13" t="s">
        <v>31</v>
      </c>
      <c r="G14" s="2" t="s">
        <v>107</v>
      </c>
      <c r="H14" s="2" t="s">
        <v>111</v>
      </c>
    </row>
    <row r="15" spans="2:8" x14ac:dyDescent="0.3">
      <c r="D15" s="12" t="s">
        <v>95</v>
      </c>
      <c r="E15" s="9" t="s">
        <v>43</v>
      </c>
      <c r="F15" s="3" t="s">
        <v>34</v>
      </c>
      <c r="G15" s="2" t="s">
        <v>110</v>
      </c>
      <c r="H15" s="2" t="s">
        <v>114</v>
      </c>
    </row>
    <row r="16" spans="2:8" x14ac:dyDescent="0.3">
      <c r="D16" s="12" t="s">
        <v>96</v>
      </c>
      <c r="E16" s="9" t="s">
        <v>44</v>
      </c>
      <c r="F16" s="3" t="s">
        <v>32</v>
      </c>
      <c r="G16" s="2" t="s">
        <v>108</v>
      </c>
      <c r="H16" s="2" t="s">
        <v>112</v>
      </c>
    </row>
    <row r="17" spans="4:8" x14ac:dyDescent="0.3">
      <c r="D17" s="12" t="s">
        <v>97</v>
      </c>
      <c r="E17" s="9" t="s">
        <v>45</v>
      </c>
      <c r="F17" s="13" t="s">
        <v>31</v>
      </c>
      <c r="G17" s="2" t="s">
        <v>107</v>
      </c>
      <c r="H17" s="2" t="s">
        <v>111</v>
      </c>
    </row>
    <row r="18" spans="4:8" x14ac:dyDescent="0.3">
      <c r="D18" s="12" t="s">
        <v>98</v>
      </c>
      <c r="E18" s="9" t="s">
        <v>46</v>
      </c>
      <c r="F18" s="3" t="s">
        <v>34</v>
      </c>
      <c r="G18" s="2" t="s">
        <v>110</v>
      </c>
      <c r="H18" s="2" t="s">
        <v>114</v>
      </c>
    </row>
    <row r="19" spans="4:8" x14ac:dyDescent="0.3">
      <c r="D19" s="12" t="s">
        <v>99</v>
      </c>
      <c r="E19" s="9" t="s">
        <v>47</v>
      </c>
      <c r="F19" s="3" t="s">
        <v>32</v>
      </c>
      <c r="G19" s="2" t="s">
        <v>108</v>
      </c>
      <c r="H19" s="2" t="s">
        <v>112</v>
      </c>
    </row>
    <row r="20" spans="4:8" x14ac:dyDescent="0.3">
      <c r="D20" s="12" t="s">
        <v>100</v>
      </c>
      <c r="E20" s="9" t="s">
        <v>48</v>
      </c>
      <c r="F20" s="13" t="s">
        <v>31</v>
      </c>
      <c r="G20" s="2" t="s">
        <v>107</v>
      </c>
      <c r="H20" s="2" t="s">
        <v>111</v>
      </c>
    </row>
    <row r="21" spans="4:8" x14ac:dyDescent="0.3">
      <c r="D21" s="12" t="s">
        <v>101</v>
      </c>
      <c r="E21" s="9" t="s">
        <v>49</v>
      </c>
      <c r="F21" s="3" t="s">
        <v>34</v>
      </c>
      <c r="G21" s="2" t="s">
        <v>110</v>
      </c>
      <c r="H21" s="2" t="s">
        <v>114</v>
      </c>
    </row>
    <row r="22" spans="4:8" x14ac:dyDescent="0.3">
      <c r="D22" s="12" t="s">
        <v>102</v>
      </c>
      <c r="E22" s="9" t="s">
        <v>50</v>
      </c>
      <c r="F22" s="13" t="s">
        <v>31</v>
      </c>
      <c r="G22" s="2" t="s">
        <v>107</v>
      </c>
      <c r="H22" s="2" t="s">
        <v>111</v>
      </c>
    </row>
    <row r="23" spans="4:8" x14ac:dyDescent="0.3">
      <c r="D23" s="10" t="s">
        <v>103</v>
      </c>
      <c r="E23" s="10" t="s">
        <v>51</v>
      </c>
      <c r="F23" s="3" t="s">
        <v>32</v>
      </c>
      <c r="G23" s="2" t="s">
        <v>108</v>
      </c>
      <c r="H23" s="2" t="s">
        <v>112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0D69-A647-467E-8FA7-EAD803C1378A}">
  <dimension ref="B1:F14"/>
  <sheetViews>
    <sheetView showGridLines="0" workbookViewId="0">
      <selection activeCell="D25" sqref="D25"/>
    </sheetView>
  </sheetViews>
  <sheetFormatPr defaultRowHeight="14.4" x14ac:dyDescent="0.3"/>
  <cols>
    <col min="1" max="1" width="4.109375" style="2" customWidth="1"/>
    <col min="2" max="2" width="26.6640625" style="4" customWidth="1"/>
    <col min="3" max="16384" width="8.88671875" style="2"/>
  </cols>
  <sheetData>
    <row r="1" spans="2:6" x14ac:dyDescent="0.3">
      <c r="B1" s="3"/>
    </row>
    <row r="2" spans="2:6" x14ac:dyDescent="0.3">
      <c r="B2" s="3"/>
    </row>
    <row r="10" spans="2:6" ht="25.8" x14ac:dyDescent="0.5">
      <c r="F10" s="17" t="s">
        <v>115</v>
      </c>
    </row>
    <row r="14" spans="2:6" ht="25.8" x14ac:dyDescent="0.5">
      <c r="F14" s="17" t="s">
        <v>116</v>
      </c>
    </row>
  </sheetData>
  <hyperlinks>
    <hyperlink ref="F10" location="Purchase!A1" display="Purchase Entry" xr:uid="{E64E997D-6ED2-4410-AB9E-CF8626242576}"/>
    <hyperlink ref="F14" location="Sales!A1" display="Sale Entry" xr:uid="{9B535F41-99B0-40D7-A851-1B0153581EC4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4"/>
  <sheetViews>
    <sheetView showGridLines="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29" sqref="F29"/>
    </sheetView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1.6640625" style="2" customWidth="1"/>
    <col min="5" max="5" width="15" style="2" customWidth="1"/>
    <col min="6" max="6" width="9.44140625" style="2" bestFit="1" customWidth="1"/>
    <col min="7" max="7" width="7.109375" style="2" bestFit="1" customWidth="1"/>
    <col min="8" max="8" width="7.5546875" style="2" bestFit="1" customWidth="1"/>
    <col min="9" max="9" width="8.88671875" style="2"/>
    <col min="10" max="10" width="9.77734375" style="2" customWidth="1"/>
    <col min="11" max="16384" width="8.88671875" style="2"/>
  </cols>
  <sheetData>
    <row r="1" spans="2:10" x14ac:dyDescent="0.3">
      <c r="B1" s="3"/>
    </row>
    <row r="2" spans="2:10" x14ac:dyDescent="0.3">
      <c r="B2" s="3"/>
    </row>
    <row r="9" spans="2:10" x14ac:dyDescent="0.3">
      <c r="D9" s="7" t="s">
        <v>117</v>
      </c>
      <c r="E9" s="7" t="s">
        <v>104</v>
      </c>
      <c r="F9" s="7" t="s">
        <v>118</v>
      </c>
      <c r="G9" s="7" t="s">
        <v>119</v>
      </c>
      <c r="H9" s="7" t="s">
        <v>120</v>
      </c>
      <c r="I9" s="7" t="s">
        <v>121</v>
      </c>
      <c r="J9" s="7" t="s">
        <v>52</v>
      </c>
    </row>
    <row r="10" spans="2:10" x14ac:dyDescent="0.3">
      <c r="D10" s="2" t="s">
        <v>94</v>
      </c>
      <c r="E10" s="2" t="str">
        <f>IFERROR(VLOOKUP(purchasedata[[#This Row],[HSN Code ]],ProductsTable[],2,0)," ")</f>
        <v>Tablet</v>
      </c>
      <c r="F10" s="2" t="str">
        <f>IFERROR(VLOOKUP(purchasedata[[#This Row],[HSN Code ]],vendor_data[],3,0)," ")</f>
        <v>Global Supplies</v>
      </c>
      <c r="H10" s="2">
        <v>10</v>
      </c>
      <c r="I10" s="2">
        <f>IFERROR(VLOOKUP(purchasedata[[#This Row],[HSN Code ]],ProductsTable[],3,0)," ")</f>
        <v>18000</v>
      </c>
      <c r="J10" s="2">
        <f>IFERROR(purchasedata[[#This Row],[Units]]*purchasedata[[#This Row],[Cost]], "")</f>
        <v>180000</v>
      </c>
    </row>
    <row r="11" spans="2:10" x14ac:dyDescent="0.3">
      <c r="D11" s="2" t="s">
        <v>96</v>
      </c>
      <c r="E11" s="2" t="str">
        <f>IFERROR(VLOOKUP(purchasedata[[#This Row],[HSN Code ]],ProductsTable[],2,0)," ")</f>
        <v>Scanner</v>
      </c>
      <c r="F11" s="2" t="str">
        <f>IFERROR(VLOOKUP(purchasedata[[#This Row],[HSN Code ]],vendor_data[],3,0)," ")</f>
        <v>TechSource</v>
      </c>
      <c r="H11" s="2">
        <v>10</v>
      </c>
      <c r="I11" s="2">
        <f>IFERROR(VLOOKUP(purchasedata[[#This Row],[HSN Code ]],ProductsTable[],3,0)," ")</f>
        <v>4000</v>
      </c>
      <c r="J11" s="2">
        <f>IFERROR(purchasedata[[#This Row],[Units]]*purchasedata[[#This Row],[Cost]], "")</f>
        <v>40000</v>
      </c>
    </row>
    <row r="12" spans="2:10" x14ac:dyDescent="0.3">
      <c r="D12" s="2" t="s">
        <v>89</v>
      </c>
      <c r="E12" s="2" t="str">
        <f>IFERROR(VLOOKUP(purchasedata[[#This Row],[HSN Code ]],ProductsTable[],2,0)," ")</f>
        <v>Laptop</v>
      </c>
      <c r="F12" s="2" t="str">
        <f>IFERROR(VLOOKUP(purchasedata[[#This Row],[HSN Code ]],vendor_data[],3,0)," ")</f>
        <v>Global Supplies</v>
      </c>
      <c r="H12" s="2">
        <v>20</v>
      </c>
      <c r="I12" s="2">
        <f>IFERROR(VLOOKUP(purchasedata[[#This Row],[HSN Code ]],ProductsTable[],3,0)," ")</f>
        <v>45000</v>
      </c>
      <c r="J12" s="2">
        <f>IFERROR(purchasedata[[#This Row],[Units]]*purchasedata[[#This Row],[Cost]], "")</f>
        <v>900000</v>
      </c>
    </row>
    <row r="13" spans="2:10" x14ac:dyDescent="0.3">
      <c r="D13" s="2" t="s">
        <v>92</v>
      </c>
      <c r="E13" s="2" t="str">
        <f>IFERROR(VLOOKUP(purchasedata[[#This Row],[HSN Code ]],ProductsTable[],2,0)," ")</f>
        <v>Monitor</v>
      </c>
      <c r="F13" s="2" t="str">
        <f>IFERROR(VLOOKUP(purchasedata[[#This Row],[HSN Code ]],vendor_data[],3,0)," ")</f>
        <v>QuickBuy</v>
      </c>
      <c r="H13" s="2">
        <v>10</v>
      </c>
      <c r="I13" s="2">
        <f>IFERROR(VLOOKUP(purchasedata[[#This Row],[HSN Code ]],ProductsTable[],3,0)," ")</f>
        <v>21000</v>
      </c>
      <c r="J13" s="2">
        <f>IFERROR(purchasedata[[#This Row],[Units]]*purchasedata[[#This Row],[Cost]], "")</f>
        <v>210000</v>
      </c>
    </row>
    <row r="14" spans="2:10" x14ac:dyDescent="0.3">
      <c r="D14" s="2" t="s">
        <v>90</v>
      </c>
      <c r="E14" s="2" t="str">
        <f>IFERROR(VLOOKUP(purchasedata[[#This Row],[HSN Code ]],ProductsTable[],2,0)," ")</f>
        <v>Mouse</v>
      </c>
      <c r="F14" s="2" t="str">
        <f>IFERROR(VLOOKUP(purchasedata[[#This Row],[HSN Code ]],vendor_data[],3,0)," ")</f>
        <v>TechSource</v>
      </c>
      <c r="H14" s="2">
        <v>10</v>
      </c>
      <c r="I14" s="2">
        <f>IFERROR(VLOOKUP(purchasedata[[#This Row],[HSN Code ]],ProductsTable[],3,0)," ")</f>
        <v>200</v>
      </c>
      <c r="J14" s="2">
        <f>IFERROR(purchasedata[[#This Row],[Units]]*purchasedata[[#This Row],[Cost]], "")</f>
        <v>2000</v>
      </c>
    </row>
    <row r="15" spans="2:10" x14ac:dyDescent="0.3">
      <c r="D15" s="2" t="s">
        <v>89</v>
      </c>
      <c r="E15" s="2" t="str">
        <f>IFERROR(VLOOKUP(purchasedata[[#This Row],[HSN Code ]],ProductsTable[],2,0)," ")</f>
        <v>Laptop</v>
      </c>
      <c r="F15" s="2" t="str">
        <f>IFERROR(VLOOKUP(purchasedata[[#This Row],[HSN Code ]],vendor_data[],3,0)," ")</f>
        <v>Global Supplies</v>
      </c>
      <c r="H15" s="2">
        <v>5</v>
      </c>
      <c r="I15" s="2">
        <f>IFERROR(VLOOKUP(purchasedata[[#This Row],[HSN Code ]],ProductsTable[],3,0)," ")</f>
        <v>45000</v>
      </c>
      <c r="J15" s="2">
        <f>IFERROR(purchasedata[[#This Row],[Units]]*purchasedata[[#This Row],[Cost]], "")</f>
        <v>225000</v>
      </c>
    </row>
    <row r="16" spans="2:10" x14ac:dyDescent="0.3">
      <c r="D16" s="2" t="s">
        <v>91</v>
      </c>
      <c r="E16" s="2" t="str">
        <f>IFERROR(VLOOKUP(purchasedata[[#This Row],[HSN Code ]],ProductsTable[],2,0)," ")</f>
        <v>Keyboard</v>
      </c>
      <c r="F16" s="2" t="str">
        <f>IFERROR(VLOOKUP(purchasedata[[#This Row],[HSN Code ]],vendor_data[],3,0)," ")</f>
        <v>MegaTrade</v>
      </c>
      <c r="H16" s="2">
        <v>100</v>
      </c>
      <c r="I16" s="2">
        <f>IFERROR(VLOOKUP(purchasedata[[#This Row],[HSN Code ]],ProductsTable[],3,0)," ")</f>
        <v>1500</v>
      </c>
      <c r="J16" s="2">
        <f>IFERROR(purchasedata[[#This Row],[Units]]*purchasedata[[#This Row],[Cost]], "")</f>
        <v>150000</v>
      </c>
    </row>
    <row r="17" spans="4:10" x14ac:dyDescent="0.3">
      <c r="D17" s="2" t="s">
        <v>95</v>
      </c>
      <c r="E17" s="2" t="str">
        <f>IFERROR(VLOOKUP(purchasedata[[#This Row],[HSN Code ]],ProductsTable[],2,0)," ")</f>
        <v>Printer</v>
      </c>
      <c r="F17" s="2" t="str">
        <f>IFERROR(VLOOKUP(purchasedata[[#This Row],[HSN Code ]],vendor_data[],3,0)," ")</f>
        <v>QuickBuy</v>
      </c>
      <c r="H17" s="2">
        <v>30</v>
      </c>
      <c r="I17" s="2">
        <f>IFERROR(VLOOKUP(purchasedata[[#This Row],[HSN Code ]],ProductsTable[],3,0)," ")</f>
        <v>10000</v>
      </c>
      <c r="J17" s="2">
        <f>IFERROR(purchasedata[[#This Row],[Units]]*purchasedata[[#This Row],[Cost]], "")</f>
        <v>300000</v>
      </c>
    </row>
    <row r="18" spans="4:10" x14ac:dyDescent="0.3">
      <c r="D18" s="2" t="s">
        <v>93</v>
      </c>
      <c r="E18" s="2" t="str">
        <f>IFERROR(VLOOKUP(purchasedata[[#This Row],[HSN Code ]],ProductsTable[],2,0)," ")</f>
        <v>Smartphone</v>
      </c>
      <c r="F18" s="2" t="str">
        <f>IFERROR(VLOOKUP(purchasedata[[#This Row],[HSN Code ]],vendor_data[],3,0)," ")</f>
        <v>MegaTrade</v>
      </c>
      <c r="H18" s="2">
        <v>30</v>
      </c>
      <c r="I18" s="2">
        <f>IFERROR(VLOOKUP(purchasedata[[#This Row],[HSN Code ]],ProductsTable[],3,0)," ")</f>
        <v>25000</v>
      </c>
      <c r="J18" s="2">
        <f>IFERROR(purchasedata[[#This Row],[Units]]*purchasedata[[#This Row],[Cost]], "")</f>
        <v>750000</v>
      </c>
    </row>
    <row r="19" spans="4:10" x14ac:dyDescent="0.3">
      <c r="E19" s="2" t="str">
        <f>IFERROR(VLOOKUP(purchasedata[[#This Row],[HSN Code ]],ProductsTable[],2,0)," ")</f>
        <v xml:space="preserve"> </v>
      </c>
      <c r="F19" s="2" t="str">
        <f>IFERROR(VLOOKUP(purchasedata[[#This Row],[HSN Code ]],vendor_data[],3,0)," ")</f>
        <v xml:space="preserve"> </v>
      </c>
      <c r="I19" s="2" t="str">
        <f>IFERROR(VLOOKUP(purchasedata[[#This Row],[HSN Code ]],ProductsTable[],3,0)," ")</f>
        <v xml:space="preserve"> </v>
      </c>
      <c r="J19" s="2" t="str">
        <f>IFERROR(purchasedata[[#This Row],[Units]]*purchasedata[[#This Row],[Cost]], "")</f>
        <v/>
      </c>
    </row>
    <row r="20" spans="4:10" x14ac:dyDescent="0.3">
      <c r="E20" s="2" t="str">
        <f>IFERROR(VLOOKUP(purchasedata[[#This Row],[HSN Code ]],ProductsTable[],2,0)," ")</f>
        <v xml:space="preserve"> </v>
      </c>
      <c r="F20" s="2" t="str">
        <f>IFERROR(VLOOKUP(purchasedata[[#This Row],[HSN Code ]],vendor_data[],3,0)," ")</f>
        <v xml:space="preserve"> </v>
      </c>
      <c r="I20" s="2" t="str">
        <f>IFERROR(VLOOKUP(purchasedata[[#This Row],[HSN Code ]],ProductsTable[],3,0)," ")</f>
        <v xml:space="preserve"> </v>
      </c>
      <c r="J20" s="2" t="str">
        <f>IFERROR(purchasedata[[#This Row],[Units]]*purchasedata[[#This Row],[Cost]], "")</f>
        <v/>
      </c>
    </row>
    <row r="21" spans="4:10" x14ac:dyDescent="0.3">
      <c r="E21" s="2" t="str">
        <f>IFERROR(VLOOKUP(purchasedata[[#This Row],[HSN Code ]],ProductsTable[],2,0)," ")</f>
        <v xml:space="preserve"> </v>
      </c>
      <c r="F21" s="2" t="str">
        <f>IFERROR(VLOOKUP(purchasedata[[#This Row],[HSN Code ]],vendor_data[],3,0)," ")</f>
        <v xml:space="preserve"> </v>
      </c>
      <c r="I21" s="2" t="str">
        <f>IFERROR(VLOOKUP(purchasedata[[#This Row],[HSN Code ]],ProductsTable[],3,0)," ")</f>
        <v xml:space="preserve"> </v>
      </c>
      <c r="J21" s="2" t="str">
        <f>IFERROR(purchasedata[[#This Row],[Units]]*purchasedata[[#This Row],[Cost]], "")</f>
        <v/>
      </c>
    </row>
    <row r="22" spans="4:10" x14ac:dyDescent="0.3">
      <c r="E22" s="2" t="str">
        <f>IFERROR(VLOOKUP(purchasedata[[#This Row],[HSN Code ]],ProductsTable[],2,0)," ")</f>
        <v xml:space="preserve"> </v>
      </c>
      <c r="F22" s="2" t="str">
        <f>IFERROR(VLOOKUP(purchasedata[[#This Row],[HSN Code ]],vendor_data[],3,0)," ")</f>
        <v xml:space="preserve"> </v>
      </c>
      <c r="I22" s="2" t="str">
        <f>IFERROR(VLOOKUP(purchasedata[[#This Row],[HSN Code ]],ProductsTable[],3,0)," ")</f>
        <v xml:space="preserve"> </v>
      </c>
      <c r="J22" s="2" t="str">
        <f>IFERROR(purchasedata[[#This Row],[Units]]*purchasedata[[#This Row],[Cost]], "")</f>
        <v/>
      </c>
    </row>
    <row r="23" spans="4:10" x14ac:dyDescent="0.3">
      <c r="E23" s="2" t="str">
        <f>IFERROR(VLOOKUP(purchasedata[[#This Row],[HSN Code ]],ProductsTable[],2,0)," ")</f>
        <v xml:space="preserve"> </v>
      </c>
      <c r="F23" s="2" t="str">
        <f>IFERROR(VLOOKUP(purchasedata[[#This Row],[HSN Code ]],vendor_data[],3,0)," ")</f>
        <v xml:space="preserve"> </v>
      </c>
      <c r="I23" s="2" t="str">
        <f>IFERROR(VLOOKUP(purchasedata[[#This Row],[HSN Code ]],ProductsTable[],3,0)," ")</f>
        <v xml:space="preserve"> </v>
      </c>
      <c r="J23" s="2" t="str">
        <f>IFERROR(purchasedata[[#This Row],[Units]]*purchasedata[[#This Row],[Cost]], "")</f>
        <v/>
      </c>
    </row>
    <row r="24" spans="4:10" x14ac:dyDescent="0.3">
      <c r="E24" s="2" t="str">
        <f>IFERROR(VLOOKUP(purchasedata[[#This Row],[HSN Code ]],ProductsTable[],2,0)," ")</f>
        <v xml:space="preserve"> </v>
      </c>
      <c r="F24" s="2" t="str">
        <f>IFERROR(VLOOKUP(purchasedata[[#This Row],[HSN Code ]],vendor_data[],3,0)," ")</f>
        <v xml:space="preserve"> </v>
      </c>
      <c r="I24" s="2" t="str">
        <f>IFERROR(VLOOKUP(purchasedata[[#This Row],[HSN Code ]],ProductsTable[],3,0)," ")</f>
        <v xml:space="preserve"> </v>
      </c>
      <c r="J24" s="2" t="str">
        <f>IFERROR(purchasedata[[#This Row],[Units]]*purchasedata[[#This Row],[Cost]], "")</f>
        <v/>
      </c>
    </row>
  </sheetData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BED866-D195-40CD-847F-0F16FD2AE974}">
          <x14:formula1>
            <xm:f>Products!$D$9:$D$23</xm:f>
          </x14:formula1>
          <xm:sqref>D10:D20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30"/>
  <sheetViews>
    <sheetView showGridLines="0" workbookViewId="0"/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2.77734375" style="2" customWidth="1"/>
    <col min="5" max="5" width="16.44140625" style="2" customWidth="1"/>
    <col min="6" max="6" width="11.6640625" style="2" customWidth="1"/>
    <col min="7" max="7" width="15" style="2" customWidth="1"/>
    <col min="8" max="8" width="10.5546875" style="2" bestFit="1" customWidth="1"/>
    <col min="9" max="9" width="19.109375" style="6" bestFit="1" customWidth="1"/>
    <col min="10" max="10" width="11" style="6" bestFit="1" customWidth="1"/>
    <col min="11" max="11" width="8.5546875" style="2" bestFit="1" customWidth="1"/>
    <col min="12" max="12" width="11.77734375" style="2" bestFit="1" customWidth="1"/>
    <col min="13" max="16384" width="8.88671875" style="2"/>
  </cols>
  <sheetData>
    <row r="1" spans="2:12" x14ac:dyDescent="0.3">
      <c r="B1" s="3"/>
    </row>
    <row r="2" spans="2:12" x14ac:dyDescent="0.3">
      <c r="B2" s="3"/>
    </row>
    <row r="9" spans="2:12" ht="18" x14ac:dyDescent="0.3">
      <c r="D9" s="24" t="s">
        <v>0</v>
      </c>
      <c r="E9" s="24" t="s">
        <v>56</v>
      </c>
      <c r="F9" s="24" t="s">
        <v>117</v>
      </c>
      <c r="G9" s="24" t="s">
        <v>104</v>
      </c>
      <c r="H9" s="24" t="s">
        <v>119</v>
      </c>
      <c r="I9" s="24" t="s">
        <v>122</v>
      </c>
      <c r="J9" s="24" t="s">
        <v>120</v>
      </c>
      <c r="K9" s="24" t="s">
        <v>123</v>
      </c>
      <c r="L9" s="24" t="s">
        <v>52</v>
      </c>
    </row>
    <row r="10" spans="2:12" ht="18" x14ac:dyDescent="0.3">
      <c r="D10" s="25" t="s">
        <v>3</v>
      </c>
      <c r="E10" s="25" t="str">
        <f>IFERROR(VLOOKUP(Table5[[#This Row],[CustomerID]],Customersdata[],2,0)," ")</f>
        <v>Beta Ltd</v>
      </c>
      <c r="F10" s="25" t="s">
        <v>94</v>
      </c>
      <c r="G10" s="25" t="str">
        <f>IFERROR(VLOOKUP(Table5[[#This Row],[HSN Code ]],ProductsTable[],2,0),"")</f>
        <v>Tablet</v>
      </c>
      <c r="H10" s="26">
        <v>45658</v>
      </c>
      <c r="I10" s="25">
        <f>IFERROR(VLOOKUP(Table5[[#This Row],[HSN Code ]],INVENTORY[],6,0),"NULL ")</f>
        <v>5</v>
      </c>
      <c r="J10" s="25">
        <v>5</v>
      </c>
      <c r="K10" s="25">
        <f>IFERROR(VLOOKUP(Table5[[#This Row],[HSN Code ]],ProductsTable[],4,0)," ")</f>
        <v>19000</v>
      </c>
      <c r="L10" s="25">
        <f>IFERROR(Table5[[#This Row],[Price]]*Table5[[#This Row],[Units]]," ")</f>
        <v>95000</v>
      </c>
    </row>
    <row r="11" spans="2:12" ht="18" x14ac:dyDescent="0.3">
      <c r="D11" s="25" t="s">
        <v>11</v>
      </c>
      <c r="E11" s="25" t="str">
        <f>IFERROR(VLOOKUP(Table5[[#This Row],[CustomerID]],Customersdata[],2,0)," ")</f>
        <v>Zeta Pvt</v>
      </c>
      <c r="F11" s="25" t="s">
        <v>91</v>
      </c>
      <c r="G11" s="25" t="str">
        <f>IFERROR(VLOOKUP(Table5[[#This Row],[HSN Code ]],ProductsTable[],2,0),"")</f>
        <v>Keyboard</v>
      </c>
      <c r="H11" s="25"/>
      <c r="I11" s="25">
        <f>IFERROR(VLOOKUP(Table5[[#This Row],[HSN Code ]],INVENTORY[],6,0),"NULL ")</f>
        <v>50</v>
      </c>
      <c r="J11" s="25">
        <v>50</v>
      </c>
      <c r="K11" s="25">
        <f>IFERROR(VLOOKUP(Table5[[#This Row],[HSN Code ]],ProductsTable[],4,0)," ")</f>
        <v>2500</v>
      </c>
      <c r="L11" s="25">
        <f>IFERROR(Table5[[#This Row],[Price]]*Table5[[#This Row],[Units]]," ")</f>
        <v>125000</v>
      </c>
    </row>
    <row r="12" spans="2:12" ht="18" x14ac:dyDescent="0.3">
      <c r="D12" s="25" t="s">
        <v>25</v>
      </c>
      <c r="E12" s="25" t="str">
        <f>IFERROR(VLOOKUP(Table5[[#This Row],[CustomerID]],Customersdata[],2,0)," ")</f>
        <v>Nu Tech</v>
      </c>
      <c r="F12" s="25" t="s">
        <v>95</v>
      </c>
      <c r="G12" s="25" t="str">
        <f>IFERROR(VLOOKUP(Table5[[#This Row],[HSN Code ]],ProductsTable[],2,0),"")</f>
        <v>Printer</v>
      </c>
      <c r="H12" s="25"/>
      <c r="I12" s="25">
        <f>IFERROR(VLOOKUP(Table5[[#This Row],[HSN Code ]],INVENTORY[],6,0),"NULL ")</f>
        <v>10</v>
      </c>
      <c r="J12" s="25">
        <v>18</v>
      </c>
      <c r="K12" s="25">
        <f>IFERROR(VLOOKUP(Table5[[#This Row],[HSN Code ]],ProductsTable[],4,0)," ")</f>
        <v>11000</v>
      </c>
      <c r="L12" s="25">
        <f>IFERROR(Table5[[#This Row],[Price]]*Table5[[#This Row],[Units]]," ")</f>
        <v>198000</v>
      </c>
    </row>
    <row r="13" spans="2:12" ht="18" x14ac:dyDescent="0.3">
      <c r="D13" s="25" t="s">
        <v>17</v>
      </c>
      <c r="E13" s="25" t="str">
        <f>IFERROR(VLOOKUP(Table5[[#This Row],[CustomerID]],Customersdata[],2,0)," ")</f>
        <v>Iota Solutions</v>
      </c>
      <c r="F13" s="25" t="s">
        <v>89</v>
      </c>
      <c r="G13" s="25" t="str">
        <f>IFERROR(VLOOKUP(Table5[[#This Row],[HSN Code ]],ProductsTable[],2,0),"")</f>
        <v>Laptop</v>
      </c>
      <c r="H13" s="25"/>
      <c r="I13" s="25">
        <f>IFERROR(VLOOKUP(Table5[[#This Row],[HSN Code ]],INVENTORY[],6,0),"NULL ")</f>
        <v>23</v>
      </c>
      <c r="J13" s="25">
        <v>2</v>
      </c>
      <c r="K13" s="25">
        <f>IFERROR(VLOOKUP(Table5[[#This Row],[HSN Code ]],ProductsTable[],4,0)," ")</f>
        <v>46000</v>
      </c>
      <c r="L13" s="25">
        <f>IFERROR(Table5[[#This Row],[Price]]*Table5[[#This Row],[Units]]," ")</f>
        <v>92000</v>
      </c>
    </row>
    <row r="14" spans="2:12" ht="18" x14ac:dyDescent="0.3">
      <c r="D14" s="25" t="s">
        <v>13</v>
      </c>
      <c r="E14" s="25" t="str">
        <f>IFERROR(VLOOKUP(Table5[[#This Row],[CustomerID]],Customersdata[],2,0)," ")</f>
        <v>Eta Traders</v>
      </c>
      <c r="F14" s="25" t="s">
        <v>90</v>
      </c>
      <c r="G14" s="25" t="str">
        <f>IFERROR(VLOOKUP(Table5[[#This Row],[HSN Code ]],ProductsTable[],2,0),"")</f>
        <v>Mouse</v>
      </c>
      <c r="H14" s="25"/>
      <c r="I14" s="25">
        <f>IFERROR(VLOOKUP(Table5[[#This Row],[HSN Code ]],INVENTORY[],6,0),"NULL ")</f>
        <v>5</v>
      </c>
      <c r="J14" s="25">
        <v>5</v>
      </c>
      <c r="K14" s="25">
        <f>IFERROR(VLOOKUP(Table5[[#This Row],[HSN Code ]],ProductsTable[],4,0)," ")</f>
        <v>1200</v>
      </c>
      <c r="L14" s="25">
        <f>IFERROR(Table5[[#This Row],[Price]]*Table5[[#This Row],[Units]]," ")</f>
        <v>6000</v>
      </c>
    </row>
    <row r="15" spans="2:12" ht="18" x14ac:dyDescent="0.3">
      <c r="D15" s="25" t="s">
        <v>1</v>
      </c>
      <c r="E15" s="25" t="str">
        <f>IFERROR(VLOOKUP(Table5[[#This Row],[CustomerID]],Customersdata[],2,0)," ")</f>
        <v>Alpha Corp</v>
      </c>
      <c r="F15" s="25" t="s">
        <v>95</v>
      </c>
      <c r="G15" s="25" t="str">
        <f>IFERROR(VLOOKUP(Table5[[#This Row],[HSN Code ]],ProductsTable[],2,0),"")</f>
        <v>Printer</v>
      </c>
      <c r="H15" s="25"/>
      <c r="I15" s="25">
        <f>IFERROR(VLOOKUP(Table5[[#This Row],[HSN Code ]],INVENTORY[],6,0),"NULL ")</f>
        <v>10</v>
      </c>
      <c r="J15" s="25">
        <v>2</v>
      </c>
      <c r="K15" s="25">
        <f>IFERROR(VLOOKUP(Table5[[#This Row],[HSN Code ]],ProductsTable[],4,0)," ")</f>
        <v>11000</v>
      </c>
      <c r="L15" s="25">
        <f>IFERROR(Table5[[#This Row],[Price]]*Table5[[#This Row],[Units]]," ")</f>
        <v>22000</v>
      </c>
    </row>
    <row r="16" spans="2:12" ht="18" x14ac:dyDescent="0.3">
      <c r="D16" s="25" t="s">
        <v>5</v>
      </c>
      <c r="E16" s="25" t="str">
        <f>IFERROR(VLOOKUP(Table5[[#This Row],[CustomerID]],Customersdata[],2,0)," ")</f>
        <v>Gamma Inc</v>
      </c>
      <c r="F16" s="25" t="s">
        <v>93</v>
      </c>
      <c r="G16" s="25" t="str">
        <f>IFERROR(VLOOKUP(Table5[[#This Row],[HSN Code ]],ProductsTable[],2,0),"")</f>
        <v>Smartphone</v>
      </c>
      <c r="H16" s="25"/>
      <c r="I16" s="25">
        <f>IFERROR(VLOOKUP(Table5[[#This Row],[HSN Code ]],INVENTORY[],6,0),"NULL ")</f>
        <v>25</v>
      </c>
      <c r="J16" s="25">
        <v>5</v>
      </c>
      <c r="K16" s="25">
        <f>IFERROR(VLOOKUP(Table5[[#This Row],[HSN Code ]],ProductsTable[],4,0)," ")</f>
        <v>26000</v>
      </c>
      <c r="L16" s="25">
        <f>IFERROR(Table5[[#This Row],[Price]]*Table5[[#This Row],[Units]]," ")</f>
        <v>130000</v>
      </c>
    </row>
    <row r="17" spans="4:12" ht="18" x14ac:dyDescent="0.3">
      <c r="D17" s="25"/>
      <c r="E17" s="25"/>
      <c r="F17" s="25"/>
      <c r="G17" s="25"/>
      <c r="H17" s="25"/>
      <c r="I17" s="25"/>
      <c r="J17" s="25"/>
      <c r="K17" s="25" t="str">
        <f>IFERROR(VLOOKUP(Table5[[#This Row],[HSN Code ]],ProductsTable[],4,0)," ")</f>
        <v xml:space="preserve"> </v>
      </c>
      <c r="L17" s="25" t="str">
        <f>IFERROR(Table5[[#This Row],[Price]]*Table5[[#This Row],[Units]]," ")</f>
        <v xml:space="preserve"> </v>
      </c>
    </row>
    <row r="18" spans="4:12" ht="18" x14ac:dyDescent="0.3">
      <c r="D18" s="25"/>
      <c r="E18" s="25"/>
      <c r="F18" s="25"/>
      <c r="G18" s="25"/>
      <c r="H18" s="25"/>
      <c r="I18" s="25"/>
      <c r="J18" s="25"/>
      <c r="K18" s="25" t="str">
        <f>IFERROR(VLOOKUP(Table5[[#This Row],[HSN Code ]],ProductsTable[],4,0)," ")</f>
        <v xml:space="preserve"> </v>
      </c>
      <c r="L18" s="25" t="str">
        <f>IFERROR(Table5[[#This Row],[Price]]*Table5[[#This Row],[Units]]," ")</f>
        <v xml:space="preserve"> </v>
      </c>
    </row>
    <row r="19" spans="4:12" ht="18" x14ac:dyDescent="0.3">
      <c r="D19" s="25"/>
      <c r="E19" s="25"/>
      <c r="F19" s="25"/>
      <c r="G19" s="25"/>
      <c r="H19" s="25"/>
      <c r="I19" s="25"/>
      <c r="J19" s="25"/>
      <c r="K19" s="25" t="str">
        <f>IFERROR(VLOOKUP(Table5[[#This Row],[HSN Code ]],ProductsTable[],4,0)," ")</f>
        <v xml:space="preserve"> </v>
      </c>
      <c r="L19" s="25" t="str">
        <f>IFERROR(Table5[[#This Row],[Price]]*Table5[[#This Row],[Units]]," ")</f>
        <v xml:space="preserve"> </v>
      </c>
    </row>
    <row r="20" spans="4:12" ht="18" x14ac:dyDescent="0.3">
      <c r="D20" s="25"/>
      <c r="E20" s="25"/>
      <c r="F20" s="25"/>
      <c r="G20" s="25"/>
      <c r="H20" s="25"/>
      <c r="I20" s="25"/>
      <c r="J20" s="25"/>
      <c r="K20" s="25" t="str">
        <f>IFERROR(VLOOKUP(Table5[[#This Row],[HSN Code ]],ProductsTable[],4,0)," ")</f>
        <v xml:space="preserve"> </v>
      </c>
      <c r="L20" s="25" t="str">
        <f>IFERROR(Table5[[#This Row],[Price]]*Table5[[#This Row],[Units]]," ")</f>
        <v xml:space="preserve"> </v>
      </c>
    </row>
    <row r="21" spans="4:12" ht="18" x14ac:dyDescent="0.3">
      <c r="D21" s="25"/>
      <c r="E21" s="25"/>
      <c r="F21" s="25"/>
      <c r="G21" s="25"/>
      <c r="H21" s="25"/>
      <c r="I21" s="25"/>
      <c r="J21" s="25"/>
      <c r="K21" s="25" t="str">
        <f>IFERROR(VLOOKUP(Table5[[#This Row],[HSN Code ]],ProductsTable[],4,0)," ")</f>
        <v xml:space="preserve"> </v>
      </c>
      <c r="L21" s="25" t="str">
        <f>IFERROR(Table5[[#This Row],[Price]]*Table5[[#This Row],[Units]]," ")</f>
        <v xml:space="preserve"> </v>
      </c>
    </row>
    <row r="22" spans="4:12" ht="18" x14ac:dyDescent="0.3">
      <c r="D22" s="25"/>
      <c r="E22" s="25"/>
      <c r="F22" s="25"/>
      <c r="G22" s="25"/>
      <c r="H22" s="25"/>
      <c r="I22" s="25"/>
      <c r="J22" s="25"/>
      <c r="K22" s="25" t="str">
        <f>IFERROR(VLOOKUP(Table5[[#This Row],[HSN Code ]],ProductsTable[],4,0)," ")</f>
        <v xml:space="preserve"> </v>
      </c>
      <c r="L22" s="25" t="str">
        <f>IFERROR(Table5[[#This Row],[Price]]*Table5[[#This Row],[Units]]," ")</f>
        <v xml:space="preserve"> </v>
      </c>
    </row>
    <row r="23" spans="4:12" ht="18" x14ac:dyDescent="0.3">
      <c r="D23" s="25"/>
      <c r="E23" s="25"/>
      <c r="F23" s="25"/>
      <c r="G23" s="25"/>
      <c r="H23" s="25"/>
      <c r="I23" s="25"/>
      <c r="J23" s="25"/>
      <c r="K23" s="25" t="str">
        <f>IFERROR(VLOOKUP(Table5[[#This Row],[HSN Code ]],ProductsTable[],4,0)," ")</f>
        <v xml:space="preserve"> </v>
      </c>
      <c r="L23" s="25" t="str">
        <f>IFERROR(Table5[[#This Row],[Price]]*Table5[[#This Row],[Units]]," ")</f>
        <v xml:space="preserve"> </v>
      </c>
    </row>
    <row r="24" spans="4:12" ht="18" x14ac:dyDescent="0.3">
      <c r="D24" s="25"/>
      <c r="E24" s="25"/>
      <c r="F24" s="25"/>
      <c r="G24" s="25"/>
      <c r="H24" s="25"/>
      <c r="I24" s="25"/>
      <c r="J24" s="25"/>
      <c r="K24" s="25" t="str">
        <f>IFERROR(VLOOKUP(Table5[[#This Row],[HSN Code ]],ProductsTable[],4,0)," ")</f>
        <v xml:space="preserve"> </v>
      </c>
      <c r="L24" s="25" t="str">
        <f>IFERROR(Table5[[#This Row],[Price]]*Table5[[#This Row],[Units]]," ")</f>
        <v xml:space="preserve"> </v>
      </c>
    </row>
    <row r="25" spans="4:12" ht="18" x14ac:dyDescent="0.3">
      <c r="D25" s="25"/>
      <c r="E25" s="25"/>
      <c r="F25" s="25"/>
      <c r="G25" s="25"/>
      <c r="H25" s="25"/>
      <c r="I25" s="25"/>
      <c r="J25" s="25"/>
      <c r="K25" s="25" t="str">
        <f>IFERROR(VLOOKUP(Table5[[#This Row],[HSN Code ]],ProductsTable[],4,0)," ")</f>
        <v xml:space="preserve"> </v>
      </c>
      <c r="L25" s="25" t="str">
        <f>IFERROR(Table5[[#This Row],[Price]]*Table5[[#This Row],[Units]]," ")</f>
        <v xml:space="preserve"> </v>
      </c>
    </row>
    <row r="26" spans="4:12" ht="18" x14ac:dyDescent="0.3">
      <c r="D26" s="25"/>
      <c r="E26" s="25"/>
      <c r="F26" s="25"/>
      <c r="G26" s="25"/>
      <c r="H26" s="25"/>
      <c r="I26" s="25"/>
      <c r="J26" s="25"/>
      <c r="K26" s="25" t="str">
        <f>IFERROR(VLOOKUP(Table5[[#This Row],[HSN Code ]],ProductsTable[],4,0)," ")</f>
        <v xml:space="preserve"> </v>
      </c>
      <c r="L26" s="25" t="str">
        <f>IFERROR(Table5[[#This Row],[Price]]*Table5[[#This Row],[Units]]," ")</f>
        <v xml:space="preserve"> </v>
      </c>
    </row>
    <row r="27" spans="4:12" ht="18" x14ac:dyDescent="0.3">
      <c r="D27" s="25"/>
      <c r="E27" s="25"/>
      <c r="F27" s="25"/>
      <c r="G27" s="25"/>
      <c r="H27" s="25"/>
      <c r="I27" s="25"/>
      <c r="J27" s="25"/>
      <c r="K27" s="25" t="str">
        <f>IFERROR(VLOOKUP(Table5[[#This Row],[HSN Code ]],ProductsTable[],4,0)," ")</f>
        <v xml:space="preserve"> </v>
      </c>
      <c r="L27" s="25" t="str">
        <f>IFERROR(Table5[[#This Row],[Price]]*Table5[[#This Row],[Units]]," ")</f>
        <v xml:space="preserve"> </v>
      </c>
    </row>
    <row r="28" spans="4:12" ht="18" x14ac:dyDescent="0.3">
      <c r="D28" s="25"/>
      <c r="E28" s="25"/>
      <c r="F28" s="25"/>
      <c r="G28" s="25"/>
      <c r="H28" s="25"/>
      <c r="I28" s="25"/>
      <c r="J28" s="25"/>
      <c r="K28" s="25" t="str">
        <f>IFERROR(VLOOKUP(Table5[[#This Row],[HSN Code ]],ProductsTable[],4,0)," ")</f>
        <v xml:space="preserve"> </v>
      </c>
      <c r="L28" s="25" t="str">
        <f>IFERROR(Table5[[#This Row],[Price]]*Table5[[#This Row],[Units]]," ")</f>
        <v xml:space="preserve"> </v>
      </c>
    </row>
    <row r="29" spans="4:12" ht="18" x14ac:dyDescent="0.3">
      <c r="D29" s="25"/>
      <c r="E29" s="25"/>
      <c r="F29" s="25"/>
      <c r="G29" s="25"/>
      <c r="H29" s="25"/>
      <c r="I29" s="25"/>
      <c r="J29" s="25"/>
      <c r="K29" s="25" t="str">
        <f>IFERROR(VLOOKUP(Table5[[#This Row],[HSN Code ]],ProductsTable[],4,0)," ")</f>
        <v xml:space="preserve"> </v>
      </c>
      <c r="L29" s="25" t="str">
        <f>IFERROR(Table5[[#This Row],[Price]]*Table5[[#This Row],[Units]]," ")</f>
        <v xml:space="preserve"> </v>
      </c>
    </row>
    <row r="30" spans="4:12" ht="18" x14ac:dyDescent="0.3">
      <c r="D30" s="25"/>
      <c r="E30" s="25"/>
      <c r="F30" s="25"/>
      <c r="G30" s="25"/>
      <c r="H30" s="25"/>
      <c r="I30" s="25"/>
      <c r="J30" s="25"/>
      <c r="K30" s="25" t="str">
        <f>IFERROR(VLOOKUP(Table5[[#This Row],[HSN Code ]],ProductsTable[],4,0)," ")</f>
        <v xml:space="preserve"> </v>
      </c>
      <c r="L30" s="25" t="str">
        <f>IFERROR(Table5[[#This Row],[Price]]*Table5[[#This Row],[Units]]," ")</f>
        <v xml:space="preserve"> </v>
      </c>
    </row>
  </sheetData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8A613E-37E9-4D55-93DC-91795AD56F59}">
          <x14:formula1>
            <xm:f>Customers!$D$8:$D$22</xm:f>
          </x14:formula1>
          <xm:sqref>D10:D28</xm:sqref>
        </x14:dataValidation>
        <x14:dataValidation type="list" allowBlank="1" showInputMessage="1" showErrorMessage="1" xr:uid="{6FC914DE-11E4-43DB-A85E-5C518ED5E64E}">
          <x14:formula1>
            <xm:f>Products!$D$9:$D$23</xm:f>
          </x14:formula1>
          <xm:sqref>F10</xm:sqref>
        </x14:dataValidation>
        <x14:dataValidation type="list" allowBlank="1" showInputMessage="1" showErrorMessage="1" xr:uid="{D341205F-F82E-4DCF-A4BB-93EAA0A1FBC5}">
          <x14:formula1>
            <xm:f>Products!$D$9:$D$27</xm:f>
          </x14:formula1>
          <xm:sqref>F11:F21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0"/>
  <sheetViews>
    <sheetView showGridLines="0" topLeftCell="A4" workbookViewId="0">
      <selection activeCell="A25" sqref="A25"/>
    </sheetView>
  </sheetViews>
  <sheetFormatPr defaultRowHeight="14.4" x14ac:dyDescent="0.3"/>
  <cols>
    <col min="1" max="1" width="4.109375" style="2" customWidth="1"/>
    <col min="2" max="2" width="26.6640625" style="4" customWidth="1"/>
    <col min="3" max="3" width="8.88671875" style="2"/>
    <col min="4" max="4" width="11.21875" style="2" customWidth="1"/>
    <col min="5" max="5" width="15" style="2" customWidth="1"/>
    <col min="6" max="6" width="6.5546875" style="6" customWidth="1"/>
    <col min="7" max="8" width="8.88671875" style="6"/>
    <col min="9" max="9" width="21.44140625" style="6" bestFit="1" customWidth="1"/>
    <col min="10" max="10" width="11.5546875" style="6" customWidth="1"/>
    <col min="11" max="11" width="139.5546875" style="2" hidden="1" customWidth="1"/>
    <col min="12" max="16384" width="8.88671875" style="2"/>
  </cols>
  <sheetData>
    <row r="1" spans="2:11" x14ac:dyDescent="0.3">
      <c r="B1" s="3"/>
      <c r="J1" s="6">
        <v>8</v>
      </c>
    </row>
    <row r="2" spans="2:11" x14ac:dyDescent="0.3">
      <c r="B2" s="3"/>
    </row>
    <row r="9" spans="2:11" x14ac:dyDescent="0.3">
      <c r="D9" s="8" t="s">
        <v>88</v>
      </c>
      <c r="E9" s="8" t="s">
        <v>104</v>
      </c>
      <c r="F9" s="18" t="s">
        <v>121</v>
      </c>
      <c r="G9" s="18" t="s">
        <v>125</v>
      </c>
      <c r="H9" s="18" t="s">
        <v>124</v>
      </c>
      <c r="I9" s="18" t="s">
        <v>127</v>
      </c>
      <c r="J9" s="18" t="s">
        <v>126</v>
      </c>
      <c r="K9" s="8" t="s">
        <v>139</v>
      </c>
    </row>
    <row r="10" spans="2:11" x14ac:dyDescent="0.3">
      <c r="D10" s="2" t="str">
        <f>Products!D9</f>
        <v>H001</v>
      </c>
      <c r="E10" s="2" t="str">
        <f>Products!E9</f>
        <v>Laptop</v>
      </c>
      <c r="F10" s="6">
        <f>Products!F9</f>
        <v>45000</v>
      </c>
      <c r="G10" s="6">
        <f>IFERROR(SUMIF(purchasedata[Product Name],INVENTORY[[#This Row],[Product Name]],Purchase!$H$10:$H$26),"")</f>
        <v>25</v>
      </c>
      <c r="H10" s="6">
        <f>SUMIF(Sales!$G$10:$G$28,INVENTORY[[#This Row],[Product Name]],Sales!$J$10:$J$31)</f>
        <v>2</v>
      </c>
      <c r="I10" s="6">
        <f>INVENTORY[[#This Row],[P Units]]-INVENTORY[[#This Row],[S Units]]</f>
        <v>23</v>
      </c>
      <c r="J10" s="6">
        <f>INVENTORY[[#This Row],[Cost]]*INVENTORY[[#This Row],[Remaining Stock Unit]]</f>
        <v>1035000</v>
      </c>
      <c r="K10" s="19" t="str">
        <f>IF(INVENTORY[[#This Row],[Remaining Stock Unit]]&lt;10,"📞 "&amp;INVENTORY[[#This Row],[Product Name]]&amp;" Needs to re-order ! PH "&amp;VLOOKUP(INVENTORY[[#This Row],[HSN Code]],vendor_data[#All],4,0)," ")</f>
        <v xml:space="preserve"> </v>
      </c>
    </row>
    <row r="11" spans="2:11" x14ac:dyDescent="0.3">
      <c r="D11" s="2" t="str">
        <f>Products!D10</f>
        <v>H002</v>
      </c>
      <c r="E11" s="2" t="str">
        <f>Products!E10</f>
        <v>Mouse</v>
      </c>
      <c r="F11" s="6">
        <f>Products!F10</f>
        <v>200</v>
      </c>
      <c r="G11" s="6">
        <f>IFERROR(SUMIF(purchasedata[Product Name],INVENTORY[[#This Row],[Product Name]],Purchase!$H$10:$H$26),"")</f>
        <v>10</v>
      </c>
      <c r="H11" s="6">
        <f>SUMIF(Sales!$G$10:$G$28,INVENTORY[[#This Row],[Product Name]],Sales!$J$10:$J$31)</f>
        <v>5</v>
      </c>
      <c r="I11" s="6">
        <f>INVENTORY[[#This Row],[P Units]]-INVENTORY[[#This Row],[S Units]]</f>
        <v>5</v>
      </c>
      <c r="J11" s="6">
        <f>INVENTORY[[#This Row],[Cost]]*INVENTORY[[#This Row],[Remaining Stock Unit]]</f>
        <v>1000</v>
      </c>
      <c r="K11" s="19" t="str">
        <f>IF(INVENTORY[[#This Row],[Remaining Stock Unit]]&lt;10,"📞 "&amp;INVENTORY[[#This Row],[Product Name]]&amp;" Needs to re-order ! PH "&amp;VLOOKUP(INVENTORY[[#This Row],[HSN Code]],vendor_data[#All],4,0)," ")</f>
        <v>📞 Mouse Needs to re-order ! PH 342535XXXX</v>
      </c>
    </row>
    <row r="12" spans="2:11" x14ac:dyDescent="0.3">
      <c r="D12" s="2" t="str">
        <f>Products!D11</f>
        <v>H003</v>
      </c>
      <c r="E12" s="2" t="str">
        <f>Products!E11</f>
        <v>Keyboard</v>
      </c>
      <c r="F12" s="6">
        <f>Products!F11</f>
        <v>1500</v>
      </c>
      <c r="G12" s="6">
        <f>IFERROR(SUMIF(purchasedata[Product Name],INVENTORY[[#This Row],[Product Name]],Purchase!$H$10:$H$26),"")</f>
        <v>100</v>
      </c>
      <c r="H12" s="6">
        <f>SUMIF(Sales!$G$10:$G$28,INVENTORY[[#This Row],[Product Name]],Sales!$J$10:$J$31)</f>
        <v>50</v>
      </c>
      <c r="I12" s="6">
        <f>INVENTORY[[#This Row],[P Units]]-INVENTORY[[#This Row],[S Units]]</f>
        <v>50</v>
      </c>
      <c r="J12" s="6">
        <f>INVENTORY[[#This Row],[Cost]]*INVENTORY[[#This Row],[Remaining Stock Unit]]</f>
        <v>75000</v>
      </c>
      <c r="K12" s="19" t="str">
        <f>IF(INVENTORY[[#This Row],[Remaining Stock Unit]]&lt;10,"📞 "&amp;INVENTORY[[#This Row],[Product Name]]&amp;" Needs to re-order ! PH "&amp;VLOOKUP(INVENTORY[[#This Row],[HSN Code]],vendor_data[#All],4,0)," ")</f>
        <v xml:space="preserve"> </v>
      </c>
    </row>
    <row r="13" spans="2:11" x14ac:dyDescent="0.3">
      <c r="D13" s="2" t="str">
        <f>Products!D12</f>
        <v>H004</v>
      </c>
      <c r="E13" s="2" t="str">
        <f>Products!E12</f>
        <v>Monitor</v>
      </c>
      <c r="F13" s="6">
        <f>Products!F12</f>
        <v>21000</v>
      </c>
      <c r="G13" s="6">
        <f>IFERROR(SUMIF(purchasedata[Product Name],INVENTORY[[#This Row],[Product Name]],Purchase!$H$10:$H$26),"")</f>
        <v>10</v>
      </c>
      <c r="H13" s="6">
        <f>SUMIF(Sales!$G$10:$G$28,INVENTORY[[#This Row],[Product Name]],Sales!$J$10:$J$31)</f>
        <v>0</v>
      </c>
      <c r="I13" s="6">
        <f>INVENTORY[[#This Row],[P Units]]-INVENTORY[[#This Row],[S Units]]</f>
        <v>10</v>
      </c>
      <c r="J13" s="6">
        <f>INVENTORY[[#This Row],[Cost]]*INVENTORY[[#This Row],[Remaining Stock Unit]]</f>
        <v>210000</v>
      </c>
      <c r="K13" s="19" t="str">
        <f>IF(INVENTORY[[#This Row],[Remaining Stock Unit]]&lt;10,"📞 "&amp;INVENTORY[[#This Row],[Product Name]]&amp;" Needs to re-order ! PH "&amp;VLOOKUP(INVENTORY[[#This Row],[HSN Code]],vendor_data[#All],4,0)," ")</f>
        <v xml:space="preserve"> </v>
      </c>
    </row>
    <row r="14" spans="2:11" x14ac:dyDescent="0.3">
      <c r="D14" s="2" t="str">
        <f>Products!D13</f>
        <v>H005</v>
      </c>
      <c r="E14" s="2" t="str">
        <f>Products!E13</f>
        <v>Smartphone</v>
      </c>
      <c r="F14" s="6">
        <f>Products!F13</f>
        <v>25000</v>
      </c>
      <c r="G14" s="6">
        <f>IFERROR(SUMIF(purchasedata[Product Name],INVENTORY[[#This Row],[Product Name]],Purchase!$H$10:$H$26),"")</f>
        <v>30</v>
      </c>
      <c r="H14" s="6">
        <f>SUMIF(Sales!$G$10:$G$28,INVENTORY[[#This Row],[Product Name]],Sales!$J$10:$J$31)</f>
        <v>5</v>
      </c>
      <c r="I14" s="6">
        <f>INVENTORY[[#This Row],[P Units]]-INVENTORY[[#This Row],[S Units]]</f>
        <v>25</v>
      </c>
      <c r="J14" s="6">
        <f>INVENTORY[[#This Row],[Cost]]*INVENTORY[[#This Row],[Remaining Stock Unit]]</f>
        <v>625000</v>
      </c>
      <c r="K14" s="19" t="str">
        <f>IF(INVENTORY[[#This Row],[Remaining Stock Unit]]&lt;10,"📞 "&amp;INVENTORY[[#This Row],[Product Name]]&amp;" Needs to re-order ! PH "&amp;VLOOKUP(INVENTORY[[#This Row],[HSN Code]],vendor_data[#All],4,0)," ")</f>
        <v xml:space="preserve"> </v>
      </c>
    </row>
    <row r="15" spans="2:11" x14ac:dyDescent="0.3">
      <c r="D15" s="2" t="str">
        <f>Products!D14</f>
        <v>H006</v>
      </c>
      <c r="E15" s="2" t="str">
        <f>Products!E14</f>
        <v>Tablet</v>
      </c>
      <c r="F15" s="6">
        <f>Products!F14</f>
        <v>18000</v>
      </c>
      <c r="G15" s="6">
        <f>IFERROR(SUMIF(purchasedata[Product Name],INVENTORY[[#This Row],[Product Name]],Purchase!$H$10:$H$26),"")</f>
        <v>10</v>
      </c>
      <c r="H15" s="6">
        <f>SUMIF(Sales!$G$10:$G$28,INVENTORY[[#This Row],[Product Name]],Sales!$J$10:$J$31)</f>
        <v>5</v>
      </c>
      <c r="I15" s="6">
        <f>INVENTORY[[#This Row],[P Units]]-INVENTORY[[#This Row],[S Units]]</f>
        <v>5</v>
      </c>
      <c r="J15" s="6">
        <f>INVENTORY[[#This Row],[Cost]]*INVENTORY[[#This Row],[Remaining Stock Unit]]</f>
        <v>90000</v>
      </c>
      <c r="K15" s="19" t="str">
        <f>IF(INVENTORY[[#This Row],[Remaining Stock Unit]]&lt;10,"📞 "&amp;INVENTORY[[#This Row],[Product Name]]&amp;" Needs to re-order ! PH "&amp;VLOOKUP(INVENTORY[[#This Row],[HSN Code]],vendor_data[#All],4,0)," ")</f>
        <v>📞 Tablet Needs to re-order ! PH 85684XXXXX</v>
      </c>
    </row>
    <row r="16" spans="2:11" x14ac:dyDescent="0.3">
      <c r="D16" s="2" t="str">
        <f>Products!D15</f>
        <v>H007</v>
      </c>
      <c r="E16" s="2" t="str">
        <f>Products!E15</f>
        <v>Printer</v>
      </c>
      <c r="F16" s="6">
        <f>Products!F15</f>
        <v>10000</v>
      </c>
      <c r="G16" s="6">
        <f>IFERROR(SUMIF(purchasedata[Product Name],INVENTORY[[#This Row],[Product Name]],Purchase!$H$10:$H$26),"")</f>
        <v>30</v>
      </c>
      <c r="H16" s="6">
        <f>SUMIF(Sales!$G$10:$G$28,INVENTORY[[#This Row],[Product Name]],Sales!$J$10:$J$31)</f>
        <v>20</v>
      </c>
      <c r="I16" s="6">
        <f>INVENTORY[[#This Row],[P Units]]-INVENTORY[[#This Row],[S Units]]</f>
        <v>10</v>
      </c>
      <c r="J16" s="6">
        <f>INVENTORY[[#This Row],[Cost]]*INVENTORY[[#This Row],[Remaining Stock Unit]]</f>
        <v>100000</v>
      </c>
      <c r="K16" s="19" t="str">
        <f>IF(INVENTORY[[#This Row],[Remaining Stock Unit]]&lt;10,"📞 "&amp;INVENTORY[[#This Row],[Product Name]]&amp;" Needs to re-order ! PH "&amp;VLOOKUP(INVENTORY[[#This Row],[HSN Code]],vendor_data[#All],4,0)," ")</f>
        <v xml:space="preserve"> </v>
      </c>
    </row>
    <row r="17" spans="4:11" x14ac:dyDescent="0.3">
      <c r="D17" s="2" t="str">
        <f>Products!D16</f>
        <v>H008</v>
      </c>
      <c r="E17" s="2" t="str">
        <f>Products!E16</f>
        <v>Scanner</v>
      </c>
      <c r="F17" s="6">
        <f>Products!F16</f>
        <v>4000</v>
      </c>
      <c r="K17" s="19" t="str">
        <f>IF(INVENTORY[[#This Row],[Remaining Stock Unit]]&lt;10,"📞 "&amp;INVENTORY[[#Headers],[Product Name]]&amp;" Needs to re-order ! PH "&amp;VLOOKUP(INVENTORY[[#This Row],[HSN Code]],vendor_data[#All],4,0)," ")</f>
        <v>📞 Product Name Needs to re-order ! PH 342535XXXX</v>
      </c>
    </row>
    <row r="18" spans="4:11" x14ac:dyDescent="0.3">
      <c r="D18" s="2" t="str">
        <f>Products!D17</f>
        <v>H009</v>
      </c>
      <c r="E18" s="2" t="str">
        <f>Products!E17</f>
        <v>Router</v>
      </c>
      <c r="F18" s="6">
        <f>Products!F17</f>
        <v>2000</v>
      </c>
      <c r="K18" s="19" t="str">
        <f>IF(INVENTORY[[#This Row],[Remaining Stock Unit]]&lt;10,"📞 "&amp;INVENTORY[[#Headers],[Product Name]]&amp;" Needs to re-order ! PH "&amp;VLOOKUP(INVENTORY[[#This Row],[HSN Code]],vendor_data[#All],4,0)," ")</f>
        <v>📞 Product Name Needs to re-order ! PH 85684XXXXX</v>
      </c>
    </row>
    <row r="19" spans="4:11" x14ac:dyDescent="0.3">
      <c r="D19" s="2" t="str">
        <f>Products!D18</f>
        <v>H010</v>
      </c>
      <c r="E19" s="2" t="str">
        <f>Products!E18</f>
        <v>Webcam</v>
      </c>
      <c r="F19" s="6">
        <f>Products!F18</f>
        <v>1500</v>
      </c>
      <c r="G19" s="19"/>
      <c r="H19" s="19"/>
      <c r="I19" s="19"/>
      <c r="J19" s="19"/>
      <c r="K19" s="19" t="str">
        <f>IF(INVENTORY[[#This Row],[Remaining Stock Unit]]&lt;10,"📞 "&amp;INVENTORY[[#Headers],[Product Name]]&amp;" Needs to re-order ! PH "&amp;VLOOKUP(INVENTORY[[#This Row],[HSN Code]],vendor_data[#All],4,0)," ")</f>
        <v>📞 Product Name Needs to re-order ! PH 876876XXXX</v>
      </c>
    </row>
    <row r="20" spans="4:11" x14ac:dyDescent="0.3">
      <c r="D20" s="2" t="str">
        <f>Products!D19</f>
        <v>H011</v>
      </c>
      <c r="E20" s="2" t="str">
        <f>Products!E19</f>
        <v>Headphones</v>
      </c>
      <c r="F20" s="6">
        <f>Products!F19</f>
        <v>3000</v>
      </c>
      <c r="G20" s="19"/>
      <c r="H20" s="19"/>
      <c r="I20" s="19"/>
      <c r="J20" s="19"/>
      <c r="K20" s="19" t="str">
        <f>IF(INVENTORY[[#This Row],[Remaining Stock Unit]]&lt;10,"📞 "&amp;INVENTORY[[#Headers],[Product Name]]&amp;" Needs to re-order ! PH "&amp;VLOOKUP(INVENTORY[[#This Row],[HSN Code]],vendor_data[#All],4,0)," ")</f>
        <v>📞 Product Name Needs to re-order ! PH 342535XXXX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PIVOTS</vt:lpstr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HSNcode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sonia saini</cp:lastModifiedBy>
  <dcterms:created xsi:type="dcterms:W3CDTF">2025-10-09T04:16:38Z</dcterms:created>
  <dcterms:modified xsi:type="dcterms:W3CDTF">2025-10-09T13:10:33Z</dcterms:modified>
</cp:coreProperties>
</file>